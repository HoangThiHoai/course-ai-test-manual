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nhanhgoicuoc_bosung" sheetId="1" state="visible" r:id="rId1"/>
    <sheet xmlns:r="http://schemas.openxmlformats.org/officeDocument/2006/relationships" name="Kỹ thuật thiết kế TC" sheetId="2" state="visible" r:id="rId2"/>
  </sheets>
  <definedNames/>
  <calcPr calcId="124519" fullCalcOnLoad="1"/>
</workbook>
</file>

<file path=xl/styles.xml><?xml version="1.0" encoding="utf-8"?>
<styleSheet xmlns="http://schemas.openxmlformats.org/spreadsheetml/2006/main">
  <numFmts count="4">
    <numFmt numFmtId="164" formatCode="d/m/yyyy"/>
    <numFmt numFmtId="165" formatCode="dd/mm/yyyy"/>
    <numFmt numFmtId="166" formatCode="d.m.yyyy"/>
    <numFmt numFmtId="167" formatCode="yyyy.m"/>
  </numFmts>
  <fonts count="80">
    <font>
      <name val="Arial"/>
      <color rgb="FF000000"/>
      <sz val="10"/>
      <scheme val="minor"/>
    </font>
    <font>
      <name val="Arial"/>
      <b val="1"/>
      <color theme="1"/>
    </font>
    <font>
      <name val="Times New Roman"/>
      <b val="1"/>
      <color rgb="FFFF0000"/>
      <sz val="12"/>
    </font>
    <font>
      <name val="Times New Roman"/>
      <color theme="1"/>
      <sz val="12"/>
    </font>
    <font/>
    <font>
      <name val="Arial"/>
      <color theme="1"/>
    </font>
    <font>
      <name val="Arial"/>
      <color theme="1"/>
      <sz val="10"/>
    </font>
    <font>
      <name val="Times New Roman"/>
      <b val="1"/>
      <color rgb="FF000000"/>
      <sz val="12"/>
    </font>
    <font>
      <name val="Times New Roman"/>
      <b val="1"/>
      <color theme="1"/>
      <sz val="12"/>
    </font>
    <font>
      <name val="Times New Roman"/>
      <color rgb="FF000000"/>
      <sz val="12"/>
    </font>
    <font>
      <name val="Times New Roman"/>
      <color rgb="FF000000"/>
      <sz val="12"/>
      <u val="single"/>
    </font>
    <font>
      <name val="Times New Roman"/>
      <color rgb="FF0000FF"/>
      <sz val="12"/>
      <u val="single"/>
    </font>
    <font>
      <name val="Arial"/>
      <color rgb="FF0000FF"/>
      <u val="single"/>
    </font>
    <font>
      <color rgb="FF0000FF"/>
      <u val="single"/>
    </font>
    <font>
      <name val="Times New Roman"/>
      <color rgb="FF0000FF"/>
      <sz val="12"/>
      <u val="single"/>
    </font>
    <font>
      <name val="Times New Roman"/>
      <color rgb="FF000000"/>
      <sz val="12"/>
      <u val="single"/>
    </font>
    <font>
      <color rgb="FF0000FF"/>
      <u val="single"/>
    </font>
    <font>
      <name val="Arial"/>
      <color theme="1"/>
      <scheme val="minor"/>
    </font>
    <font>
      <color rgb="FF0000FF"/>
      <u val="single"/>
    </font>
    <font>
      <name val="Times New Roman"/>
      <color rgb="FFFF0000"/>
      <sz val="12"/>
    </font>
    <font>
      <name val="Times New Roman"/>
      <color rgb="FF0000FF"/>
      <sz val="12"/>
      <u val="single"/>
    </font>
    <font>
      <name val="Times New Roman"/>
      <color rgb="FF0000FF"/>
      <sz val="12"/>
      <u val="single"/>
    </font>
    <font>
      <name val="Times New Roman"/>
      <color rgb="FF980000"/>
      <sz val="12"/>
    </font>
    <font>
      <name val="Google Sans"/>
      <color theme="1"/>
      <sz val="9"/>
    </font>
    <font>
      <name val="Times New Roman"/>
      <color theme="1"/>
      <sz val="12"/>
      <u val="single"/>
    </font>
    <font>
      <name val="Times New Roman"/>
      <i val="1"/>
      <color rgb="FF000000"/>
      <sz val="12"/>
    </font>
    <font>
      <name val="Times New Roman"/>
      <color rgb="FF0A0A0A"/>
      <sz val="12"/>
    </font>
    <font>
      <name val="Times New Roman"/>
      <i val="1"/>
      <color theme="1"/>
      <sz val="12"/>
    </font>
    <font>
      <name val="'Times New Roman'"/>
      <color rgb="FF000000"/>
      <sz val="12"/>
    </font>
    <font>
      <name val="Times New Roman"/>
      <color theme="1"/>
      <sz val="12"/>
      <u val="single"/>
    </font>
    <font>
      <name val="Times New Roman"/>
      <color theme="1"/>
      <sz val="12"/>
      <u val="single"/>
    </font>
    <font>
      <name val="Times New Roman"/>
      <b val="1"/>
      <i val="1"/>
      <color rgb="FF000000"/>
      <sz val="12"/>
      <u val="single"/>
    </font>
    <font>
      <name val="'Times New Roman'"/>
      <b val="1"/>
      <i val="1"/>
      <color rgb="FF000000"/>
      <sz val="11"/>
      <u val="single"/>
    </font>
    <font>
      <name val="Times New Roman"/>
      <color theme="1"/>
      <sz val="11"/>
    </font>
    <font>
      <name val="Times New Roman"/>
      <color theme="1"/>
    </font>
    <font>
      <name val="Times New Roman"/>
      <color rgb="FF1155CC"/>
      <sz val="12"/>
      <u val="single"/>
    </font>
    <font>
      <name val="Arial"/>
      <color rgb="FF0000FF"/>
      <u val="single"/>
    </font>
    <font>
      <name val="Times New Roman"/>
      <color rgb="FF0000FF"/>
      <sz val="12"/>
    </font>
    <font>
      <name val="Arial"/>
      <color rgb="FF0000FF"/>
      <u val="single"/>
    </font>
    <font>
      <name val="Arial"/>
      <color rgb="FF0000FF"/>
      <u val="single"/>
    </font>
    <font>
      <name val="Arial"/>
      <color rgb="FF0000FF"/>
      <u val="single"/>
    </font>
    <font>
      <name val="Times New Roman"/>
      <color rgb="FF0000FF"/>
      <sz val="12"/>
      <u val="single"/>
    </font>
    <font>
      <name val="Times New Roman"/>
      <b val="1"/>
      <color rgb="FF0000FF"/>
      <sz val="12"/>
    </font>
    <font>
      <name val="Arial"/>
      <color rgb="FF0000FF"/>
    </font>
    <font>
      <name val="Times New Roman"/>
      <b val="1"/>
      <i val="1"/>
      <color theme="1"/>
      <sz val="12"/>
    </font>
    <font>
      <name val="Times New Roman"/>
      <color theme="1"/>
      <sz val="12"/>
      <u val="single"/>
    </font>
    <font>
      <name val="Times New Roman"/>
      <color rgb="FF0000FF"/>
      <sz val="12"/>
      <u val="single"/>
    </font>
    <font>
      <name val="-apple-system"/>
      <color rgb="FF172B4D"/>
      <sz val="11"/>
      <u val="single"/>
    </font>
    <font>
      <name val="Arial"/>
      <color theme="1"/>
      <sz val="12"/>
    </font>
    <font>
      <name val="Times New Roman"/>
      <strike val="1"/>
      <color theme="1"/>
      <sz val="12"/>
    </font>
    <font>
      <name val="Times New Roman"/>
      <color theme="1"/>
      <sz val="12"/>
      <u val="single"/>
    </font>
    <font>
      <name val="Times New Roman"/>
      <b val="1"/>
      <i val="1"/>
      <color rgb="FF000000"/>
      <sz val="12"/>
    </font>
    <font>
      <name val="'Times New Roman'"/>
      <i val="1"/>
      <color rgb="FF000000"/>
      <sz val="12"/>
    </font>
    <font>
      <name val="Arial"/>
      <strike val="1"/>
      <color theme="1"/>
      <sz val="12"/>
    </font>
    <font>
      <name val="Times New Roman"/>
      <color theme="1"/>
      <sz val="12"/>
      <u val="single"/>
    </font>
    <font>
      <name val="'Times New Roman'"/>
      <color theme="1"/>
      <sz val="12"/>
      <u val="single"/>
    </font>
    <font>
      <name val="'Times New Roman'"/>
      <color rgb="FF1155CC"/>
      <sz val="12"/>
      <u val="single"/>
    </font>
    <font>
      <name val="Times New Roman"/>
      <color rgb="FF1155CC"/>
      <sz val="12"/>
      <u val="single"/>
    </font>
    <font>
      <name val="Times New Roman"/>
      <color rgb="FF1F1F1F"/>
      <sz val="12"/>
    </font>
    <font>
      <name val="Times New Roman"/>
      <color rgb="FF000000"/>
      <sz val="12"/>
      <u val="single"/>
    </font>
    <font>
      <color rgb="FF0000FF"/>
      <u val="single"/>
    </font>
    <font>
      <name val="Times New Roman"/>
      <strike val="1"/>
      <color rgb="FF000000"/>
      <sz val="12"/>
    </font>
    <font>
      <name val="Times New Roman"/>
      <color rgb="FF0000FF"/>
      <sz val="12"/>
      <u val="single"/>
    </font>
    <font>
      <name val="Times New Roman"/>
      <color rgb="FF0000FF"/>
      <sz val="12"/>
      <u val="single"/>
    </font>
    <font>
      <name val="Times New Roman"/>
      <color rgb="FF0000FF"/>
      <sz val="12"/>
      <u val="single"/>
    </font>
    <font>
      <name val="Times New Roman"/>
      <color rgb="FF000000"/>
      <sz val="12"/>
      <u val="single"/>
    </font>
    <font>
      <name val="Times New Roman"/>
      <color rgb="FF0000FF"/>
      <sz val="12"/>
      <u val="single"/>
    </font>
    <font>
      <name val="Times New Roman"/>
      <color rgb="FF0000FF"/>
      <sz val="12"/>
      <u val="single"/>
    </font>
    <font>
      <name val="Times New Roman"/>
      <color theme="1"/>
      <sz val="12"/>
      <u val="single"/>
    </font>
    <font>
      <name val="Times New Roman"/>
      <color rgb="FF0000FF"/>
      <sz val="12"/>
      <u val="single"/>
    </font>
    <font>
      <name val="Times New Roman"/>
      <color theme="1"/>
      <sz val="12"/>
      <u val="single"/>
    </font>
    <font>
      <name val="Arial"/>
      <color rgb="FF172B4D"/>
      <sz val="11"/>
      <u val="single"/>
    </font>
    <font>
      <name val="Times New Roman"/>
      <color rgb="FF7F6000"/>
      <sz val="12"/>
    </font>
    <font>
      <name val="Times New Roman"/>
      <color theme="1"/>
      <sz val="12"/>
      <u val="single"/>
    </font>
    <font>
      <name val="Times New Roman"/>
      <color rgb="FF1E3A8A"/>
      <sz val="12"/>
    </font>
    <font>
      <name val="Times New Roman"/>
      <b val="1"/>
      <color rgb="FF92400E"/>
      <sz val="12"/>
    </font>
    <font>
      <name val="-apple-system"/>
      <color rgb="FF172B4D"/>
      <sz val="11"/>
    </font>
    <font>
      <name val="Times New Roman"/>
      <b val="1"/>
      <sz val="13"/>
    </font>
    <font>
      <name val="Times New Roman"/>
      <b val="1"/>
      <sz val="12"/>
    </font>
    <font>
      <name val="Times New Roman"/>
      <sz val="12"/>
    </font>
  </fonts>
  <fills count="24">
    <fill>
      <patternFill/>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CCFF"/>
        <bgColor rgb="FF00CCFF"/>
      </patternFill>
    </fill>
    <fill>
      <patternFill patternType="solid">
        <fgColor rgb="FFCCFFCC"/>
        <bgColor rgb="FFCCFFCC"/>
      </patternFill>
    </fill>
    <fill>
      <patternFill patternType="solid">
        <fgColor rgb="FFD8D8D8"/>
        <bgColor rgb="FFD8D8D8"/>
      </patternFill>
    </fill>
    <fill>
      <patternFill patternType="solid">
        <fgColor rgb="FFFF9900"/>
        <bgColor rgb="FFFF9900"/>
      </patternFill>
    </fill>
    <fill>
      <patternFill patternType="solid">
        <fgColor rgb="FF4A86E8"/>
        <bgColor rgb="FF4A86E8"/>
      </patternFill>
    </fill>
    <fill>
      <patternFill patternType="solid">
        <fgColor theme="7"/>
        <bgColor theme="7"/>
      </patternFill>
    </fill>
    <fill>
      <patternFill patternType="solid">
        <fgColor rgb="FF00FF00"/>
        <bgColor rgb="FF00FF00"/>
      </patternFill>
    </fill>
    <fill>
      <patternFill patternType="solid">
        <fgColor rgb="FF3D85C6"/>
        <bgColor rgb="FF3D85C6"/>
      </patternFill>
    </fill>
    <fill>
      <patternFill patternType="solid">
        <fgColor rgb="FFFF0000"/>
        <bgColor rgb="FFFF0000"/>
      </patternFill>
    </fill>
    <fill>
      <patternFill patternType="solid">
        <fgColor rgb="FFFF00FF"/>
        <bgColor rgb="FFFF00FF"/>
      </patternFill>
    </fill>
    <fill>
      <patternFill patternType="solid">
        <fgColor rgb="FFB7E1CD"/>
        <bgColor rgb="FFB7E1CD"/>
      </patternFill>
    </fill>
    <fill>
      <patternFill patternType="solid">
        <fgColor rgb="FFD9D9D9"/>
        <bgColor rgb="FFD9D9D9"/>
      </patternFill>
    </fill>
    <fill>
      <patternFill patternType="solid">
        <fgColor rgb="FF7F7F7F"/>
        <bgColor rgb="FF7F7F7F"/>
      </patternFill>
    </fill>
    <fill>
      <patternFill patternType="solid">
        <fgColor rgb="FF4285F4"/>
        <bgColor rgb="FF4285F4"/>
      </patternFill>
    </fill>
    <fill>
      <patternFill patternType="solid">
        <fgColor rgb="FF34A853"/>
        <bgColor rgb="FF34A853"/>
      </patternFill>
    </fill>
    <fill>
      <patternFill patternType="solid">
        <fgColor rgb="FF0000FF"/>
        <bgColor rgb="FF0000FF"/>
      </patternFill>
    </fill>
    <fill>
      <patternFill patternType="solid">
        <fgColor rgb="FFFFF2CC"/>
        <bgColor rgb="FFFFF2CC"/>
      </patternFill>
    </fill>
    <fill>
      <patternFill patternType="solid">
        <fgColor rgb="FFEFF6FF"/>
        <bgColor rgb="FFEFF6FF"/>
      </patternFill>
    </fill>
    <fill>
      <patternFill patternType="solid">
        <fgColor rgb="FFFEF3C7"/>
        <bgColor rgb="FFFEF3C7"/>
      </patternFill>
    </fill>
    <fill>
      <patternFill patternType="solid">
        <fgColor rgb="FFD8D8D8"/>
      </patternFill>
    </fill>
  </fills>
  <borders count="25">
    <border/>
    <border>
      <left style="thin">
        <color rgb="FF000000"/>
      </left>
      <right style="thin">
        <color rgb="FF000000"/>
      </right>
      <top style="thin">
        <color rgb="FF000000"/>
      </top>
      <bottom style="thin">
        <color rgb="FF000000"/>
      </bottom>
    </border>
    <border>
      <left/>
      <top/>
      <bottom/>
    </border>
    <border>
      <bottom style="thin">
        <color rgb="FF000000"/>
      </bottom>
    </border>
    <border>
      <top/>
      <bottom/>
    </border>
    <border>
      <left/>
      <right/>
      <top/>
      <bottom/>
    </border>
    <border>
      <right style="thin">
        <color rgb="FF000000"/>
      </right>
      <bottom style="thin">
        <color rgb="FF000000"/>
      </bottom>
    </border>
    <border>
      <left style="thin">
        <color rgb="FF000000"/>
      </left>
      <right style="thin">
        <color rgb="FF000000"/>
      </right>
      <top style="thin">
        <color rgb="FF000000"/>
      </top>
    </border>
    <border>
      <left/>
      <right/>
      <top/>
      <bottom style="thin">
        <color rgb="FF000000"/>
      </bottom>
    </border>
    <border>
      <top style="thin">
        <color rgb="FF000000"/>
      </top>
      <bottom style="thin">
        <color rgb="FF000000"/>
      </bottom>
    </border>
    <border>
      <left style="thin">
        <color rgb="FF000000"/>
      </left>
      <right style="thin">
        <color rgb="FF000000"/>
      </right>
      <top/>
      <bottom style="thin">
        <color rgb="FF000000"/>
      </bottom>
    </border>
    <border>
      <right style="thin">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top/>
      <bottom style="thin">
        <color rgb="FF000000"/>
      </bottom>
    </border>
    <border>
      <right style="thin">
        <color rgb="FF000000"/>
      </right>
      <top/>
      <bottom style="thin">
        <color rgb="FF000000"/>
      </bottom>
    </border>
    <border>
      <right style="thin">
        <color rgb="FF000000"/>
      </right>
    </border>
    <border>
      <left style="thin">
        <color rgb="FF000000"/>
      </left>
    </border>
    <border>
      <left style="thin">
        <color rgb="FF000000"/>
      </left>
      <top style="thin">
        <color rgb="FF000000"/>
      </top>
    </border>
    <border>
      <left style="thin">
        <color rgb="FF000000"/>
      </left>
      <bottom style="thin">
        <color rgb="FF000000"/>
      </bottom>
    </border>
    <border>
      <top style="thin">
        <color rgb="FF000000"/>
      </top>
    </border>
    <border>
      <right style="thin">
        <color rgb="FF000000"/>
      </right>
      <top style="thin">
        <color rgb="FF000000"/>
      </top>
    </border>
    <border>
      <left style="thin"/>
      <right style="thin"/>
      <top style="thin"/>
      <bottom style="thin"/>
    </border>
  </borders>
  <cellStyleXfs count="1">
    <xf numFmtId="0" fontId="0" fillId="0" borderId="0"/>
  </cellStyleXfs>
  <cellXfs count="698">
    <xf numFmtId="0" fontId="0" fillId="0" borderId="0" applyAlignment="1" pivotButton="0" quotePrefix="0" xfId="0">
      <alignment vertical="bottom"/>
    </xf>
    <xf numFmtId="0" fontId="1" fillId="2" borderId="1" applyAlignment="1" pivotButton="0" quotePrefix="0" xfId="0">
      <alignment horizontal="center" vertical="center"/>
    </xf>
    <xf numFmtId="0" fontId="2" fillId="3" borderId="2" applyAlignment="1" pivotButton="0" quotePrefix="0" xfId="0">
      <alignment vertical="bottom"/>
    </xf>
    <xf numFmtId="0" fontId="3" fillId="0" borderId="3" applyAlignment="1" pivotButton="0" quotePrefix="0" xfId="0">
      <alignment horizontal="left" vertical="center" wrapText="1"/>
    </xf>
    <xf numFmtId="0" fontId="4" fillId="0" borderId="4" pivotButton="0" quotePrefix="0" xfId="0"/>
    <xf numFmtId="0" fontId="1" fillId="2" borderId="1" applyAlignment="1" pivotButton="0" quotePrefix="0" xfId="0">
      <alignment horizontal="center" vertical="center" wrapText="1"/>
    </xf>
    <xf numFmtId="0" fontId="5" fillId="3" borderId="5" applyAlignment="1" pivotButton="0" quotePrefix="0" xfId="0">
      <alignment vertical="bottom"/>
    </xf>
    <xf numFmtId="0" fontId="4" fillId="0" borderId="6" pivotButton="0" quotePrefix="0" xfId="0"/>
    <xf numFmtId="0" fontId="6" fillId="0" borderId="7" applyAlignment="1" pivotButton="0" quotePrefix="0" xfId="0">
      <alignment vertical="center" wrapText="1"/>
    </xf>
    <xf numFmtId="0" fontId="6" fillId="0" borderId="1" applyAlignment="1" pivotButton="0" quotePrefix="0" xfId="0">
      <alignment vertical="center" wrapText="1"/>
    </xf>
    <xf numFmtId="0" fontId="5" fillId="3" borderId="8" applyAlignment="1" pivotButton="0" quotePrefix="0" xfId="0">
      <alignment vertical="bottom"/>
    </xf>
    <xf numFmtId="0" fontId="6" fillId="0" borderId="1" applyAlignment="1" pivotButton="0" quotePrefix="0" xfId="0">
      <alignment vertical="bottom" wrapText="1"/>
    </xf>
    <xf numFmtId="0" fontId="7" fillId="3" borderId="9" applyAlignment="1" pivotButton="0" quotePrefix="0" xfId="0">
      <alignment horizontal="center" vertical="top" wrapText="1"/>
    </xf>
    <xf numFmtId="164" fontId="5" fillId="3" borderId="5" applyAlignment="1" pivotButton="0" quotePrefix="0" xfId="0">
      <alignment vertical="bottom"/>
    </xf>
    <xf numFmtId="0" fontId="4" fillId="0" borderId="9" pivotButton="0" quotePrefix="0" xfId="0"/>
    <xf numFmtId="0" fontId="5" fillId="0" borderId="1" applyAlignment="1" pivotButton="0" quotePrefix="0" xfId="0">
      <alignment horizontal="center" vertical="center"/>
    </xf>
    <xf numFmtId="0" fontId="8" fillId="4" borderId="10" applyAlignment="1" pivotButton="0" quotePrefix="0" xfId="0">
      <alignment horizontal="center" vertical="top" wrapText="1"/>
    </xf>
    <xf numFmtId="0" fontId="4" fillId="0" borderId="11" pivotButton="0" quotePrefix="0" xfId="0"/>
    <xf numFmtId="0" fontId="5" fillId="0" borderId="1" applyAlignment="1" pivotButton="0" quotePrefix="0" xfId="0">
      <alignment wrapText="1"/>
    </xf>
    <xf numFmtId="0" fontId="8" fillId="4" borderId="12" applyAlignment="1" pivotButton="0" quotePrefix="0" xfId="0">
      <alignment horizontal="center" vertical="top" wrapText="1"/>
    </xf>
    <xf numFmtId="0" fontId="3" fillId="0" borderId="0" applyAlignment="1" pivotButton="0" quotePrefix="0" xfId="0">
      <alignment wrapText="1"/>
    </xf>
    <xf numFmtId="164" fontId="8" fillId="4" borderId="12" applyAlignment="1" pivotButton="0" quotePrefix="0" xfId="0">
      <alignment horizontal="center" vertical="top" wrapText="1"/>
    </xf>
    <xf numFmtId="0" fontId="4" fillId="0" borderId="13" pivotButton="0" quotePrefix="0" xfId="0"/>
    <xf numFmtId="0" fontId="3" fillId="5" borderId="10" applyAlignment="1" pivotButton="0" quotePrefix="0" xfId="0">
      <alignment horizontal="center" vertical="bottom" wrapText="1"/>
    </xf>
    <xf numFmtId="0" fontId="7" fillId="3" borderId="14" applyAlignment="1" pivotButton="0" quotePrefix="0" xfId="0">
      <alignment horizontal="left" vertical="center" wrapText="1"/>
    </xf>
    <xf numFmtId="0" fontId="6" fillId="0" borderId="1" applyAlignment="1" pivotButton="0" quotePrefix="0" xfId="0">
      <alignment vertical="bottom"/>
    </xf>
    <xf numFmtId="0" fontId="9" fillId="3" borderId="6" applyAlignment="1" pivotButton="0" quotePrefix="0" xfId="0">
      <alignment vertical="top" wrapText="1"/>
    </xf>
    <xf numFmtId="0" fontId="9" fillId="3" borderId="0" applyAlignment="1" pivotButton="0" quotePrefix="0" xfId="0">
      <alignment vertical="top" wrapText="1"/>
    </xf>
    <xf numFmtId="0" fontId="4" fillId="0" borderId="15" pivotButton="0" quotePrefix="0" xfId="0"/>
    <xf numFmtId="0" fontId="3" fillId="0" borderId="1" applyAlignment="1" pivotButton="0" quotePrefix="0" xfId="0">
      <alignment wrapText="1"/>
    </xf>
    <xf numFmtId="0" fontId="3" fillId="5" borderId="12" applyAlignment="1" pivotButton="0" quotePrefix="0" xfId="0">
      <alignment vertical="bottom" wrapText="1"/>
    </xf>
    <xf numFmtId="0" fontId="7" fillId="3" borderId="1" applyAlignment="1" pivotButton="0" quotePrefix="0" xfId="0">
      <alignment horizontal="left" vertical="center" wrapText="1"/>
    </xf>
    <xf numFmtId="0" fontId="6" fillId="0" borderId="1" applyAlignment="1" pivotButton="0" quotePrefix="0" xfId="0">
      <alignment vertical="center"/>
    </xf>
    <xf numFmtId="0" fontId="9" fillId="3" borderId="1" applyAlignment="1" pivotButton="0" quotePrefix="0" xfId="0">
      <alignment vertical="top" wrapText="1"/>
    </xf>
    <xf numFmtId="0" fontId="9" fillId="3" borderId="6" applyAlignment="1" pivotButton="0" quotePrefix="0" xfId="0">
      <alignment vertical="top" wrapText="1"/>
    </xf>
    <xf numFmtId="0" fontId="3" fillId="5" borderId="12" applyAlignment="1" pivotButton="0" quotePrefix="0" xfId="0">
      <alignment horizontal="center" vertical="bottom" wrapText="1"/>
    </xf>
    <xf numFmtId="0" fontId="8" fillId="3" borderId="1" applyAlignment="1" pivotButton="0" quotePrefix="0" xfId="0">
      <alignment horizontal="center" vertical="center" wrapText="1"/>
    </xf>
    <xf numFmtId="0" fontId="8" fillId="3" borderId="14" applyAlignment="1" pivotButton="0" quotePrefix="0" xfId="0">
      <alignment vertical="top" wrapText="1"/>
    </xf>
    <xf numFmtId="0" fontId="3" fillId="3" borderId="1" applyAlignment="1" pivotButton="0" quotePrefix="0" xfId="0">
      <alignment horizontal="center" vertical="top" wrapText="1"/>
    </xf>
    <xf numFmtId="0" fontId="7" fillId="0" borderId="3" applyAlignment="1" pivotButton="0" quotePrefix="0" xfId="0">
      <alignment horizontal="center" vertical="center" wrapText="1"/>
    </xf>
    <xf numFmtId="0" fontId="7" fillId="0" borderId="3" applyAlignment="1" pivotButton="0" quotePrefix="0" xfId="0">
      <alignment horizontal="center" wrapText="1"/>
    </xf>
    <xf numFmtId="9" fontId="3" fillId="5" borderId="12" applyAlignment="1" pivotButton="0" quotePrefix="0" xfId="0">
      <alignment horizontal="center" vertical="bottom" wrapText="1"/>
    </xf>
    <xf numFmtId="0" fontId="5" fillId="0" borderId="0" applyAlignment="1" pivotButton="0" quotePrefix="0" xfId="0">
      <alignment horizontal="left" vertical="center"/>
    </xf>
    <xf numFmtId="0" fontId="5" fillId="0" borderId="0" applyAlignment="1" pivotButton="0" quotePrefix="0" xfId="0">
      <alignment wrapText="1"/>
    </xf>
    <xf numFmtId="0" fontId="3" fillId="3" borderId="1" applyAlignment="1" pivotButton="0" quotePrefix="0" xfId="0">
      <alignment horizontal="center" vertical="top" wrapText="1"/>
    </xf>
    <xf numFmtId="0" fontId="7" fillId="6" borderId="7" applyAlignment="1" pivotButton="0" quotePrefix="0" xfId="0">
      <alignment horizontal="center" vertical="center" wrapText="1"/>
    </xf>
    <xf numFmtId="0" fontId="5" fillId="0" borderId="0" applyAlignment="1" pivotButton="0" quotePrefix="0" xfId="0">
      <alignment horizontal="center" vertical="center"/>
    </xf>
    <xf numFmtId="0" fontId="7" fillId="7" borderId="7" applyAlignment="1" pivotButton="0" quotePrefix="0" xfId="0">
      <alignment horizontal="center" vertical="center" wrapText="1"/>
    </xf>
    <xf numFmtId="0" fontId="7" fillId="6" borderId="13" applyAlignment="1" pivotButton="0" quotePrefix="0" xfId="0">
      <alignment horizontal="center" vertical="center" wrapText="1"/>
    </xf>
    <xf numFmtId="0" fontId="7" fillId="7" borderId="13" applyAlignment="1" pivotButton="0" quotePrefix="0" xfId="0">
      <alignment horizontal="center" vertical="center" wrapText="1"/>
    </xf>
    <xf numFmtId="0" fontId="7" fillId="6" borderId="13" applyAlignment="1" pivotButton="0" quotePrefix="0" xfId="0">
      <alignment horizontal="center" wrapText="1"/>
    </xf>
    <xf numFmtId="0" fontId="7" fillId="8" borderId="14" applyAlignment="1" pivotButton="0" quotePrefix="0" xfId="0">
      <alignment horizontal="left" vertical="center" wrapText="1"/>
    </xf>
    <xf numFmtId="0" fontId="9" fillId="8" borderId="1" applyAlignment="1" pivotButton="0" quotePrefix="0" xfId="0">
      <alignment vertical="top" wrapText="1"/>
    </xf>
    <xf numFmtId="0" fontId="7" fillId="9" borderId="14" applyAlignment="1" pivotButton="0" quotePrefix="0" xfId="0">
      <alignment horizontal="left" vertical="center" wrapText="1"/>
    </xf>
    <xf numFmtId="0" fontId="9" fillId="9" borderId="1" applyAlignment="1" pivotButton="0" quotePrefix="0" xfId="0">
      <alignment horizontal="left" vertical="center" wrapText="1"/>
    </xf>
    <xf numFmtId="0" fontId="10" fillId="3" borderId="14" applyAlignment="1" pivotButton="0" quotePrefix="0" xfId="0">
      <alignment horizontal="left" vertical="center" wrapText="1"/>
    </xf>
    <xf numFmtId="0" fontId="3" fillId="0" borderId="1" applyAlignment="1" pivotButton="0" quotePrefix="0" xfId="0">
      <alignment horizontal="center" vertical="center" wrapText="1"/>
    </xf>
    <xf numFmtId="0" fontId="7" fillId="8" borderId="14" applyAlignment="1" pivotButton="0" quotePrefix="0" xfId="0">
      <alignment horizontal="left" vertical="center" wrapText="1"/>
    </xf>
    <xf numFmtId="0" fontId="3" fillId="0" borderId="7" applyAlignment="1" pivotButton="0" quotePrefix="0" xfId="0">
      <alignment horizontal="left" vertical="center" wrapText="1"/>
    </xf>
    <xf numFmtId="0" fontId="3" fillId="0" borderId="1" applyAlignment="1" pivotButton="0" quotePrefix="0" xfId="0">
      <alignment horizontal="left" vertical="center" wrapText="1"/>
    </xf>
    <xf numFmtId="0" fontId="8" fillId="5" borderId="16" applyAlignment="1" pivotButton="0" quotePrefix="0" xfId="0">
      <alignment horizontal="center" vertical="bottom" wrapText="1"/>
    </xf>
    <xf numFmtId="0" fontId="4" fillId="0" borderId="17" pivotButton="0" quotePrefix="0" xfId="0"/>
    <xf numFmtId="0" fontId="7" fillId="9" borderId="14" applyAlignment="1" pivotButton="0" quotePrefix="0" xfId="0">
      <alignment horizontal="left" vertical="center" wrapText="1"/>
    </xf>
    <xf numFmtId="0" fontId="8" fillId="5" borderId="12" applyAlignment="1" pivotButton="0" quotePrefix="0" xfId="0">
      <alignment horizontal="center" vertical="bottom" wrapText="1"/>
    </xf>
    <xf numFmtId="0" fontId="11" fillId="0" borderId="1" applyAlignment="1" pivotButton="0" quotePrefix="0" xfId="0">
      <alignment horizontal="left" vertical="center" wrapText="1"/>
    </xf>
    <xf numFmtId="0" fontId="9" fillId="0" borderId="1" applyAlignment="1" pivotButton="0" quotePrefix="0" xfId="0">
      <alignment vertical="top" wrapText="1"/>
    </xf>
    <xf numFmtId="165" fontId="9" fillId="0" borderId="1" applyAlignment="1" pivotButton="0" quotePrefix="0" xfId="0">
      <alignment horizontal="center" vertical="center" wrapText="1"/>
    </xf>
    <xf numFmtId="0" fontId="9" fillId="3" borderId="14" applyAlignment="1" pivotButton="0" quotePrefix="0" xfId="0">
      <alignment horizontal="left" vertical="center" wrapText="1"/>
    </xf>
    <xf numFmtId="0" fontId="9" fillId="0" borderId="1" applyAlignment="1" pivotButton="0" quotePrefix="0" xfId="0">
      <alignment horizontal="center" vertical="center" wrapText="1"/>
    </xf>
    <xf numFmtId="9" fontId="8" fillId="5" borderId="12" applyAlignment="1" pivotButton="0" quotePrefix="0" xfId="0">
      <alignment horizontal="center" vertical="bottom" wrapText="1"/>
    </xf>
    <xf numFmtId="0" fontId="3" fillId="3" borderId="1" applyAlignment="1" pivotButton="0" quotePrefix="0" xfId="0">
      <alignment horizontal="center" vertical="center" wrapText="1"/>
    </xf>
    <xf numFmtId="0" fontId="5" fillId="0" borderId="0" applyAlignment="1" pivotButton="0" quotePrefix="0" xfId="0">
      <alignment vertical="bottom"/>
    </xf>
    <xf numFmtId="0" fontId="3" fillId="3" borderId="1" applyAlignment="1" pivotButton="0" quotePrefix="0" xfId="0">
      <alignment horizontal="left" vertical="center" wrapText="1"/>
    </xf>
    <xf numFmtId="0" fontId="12" fillId="0" borderId="0" applyAlignment="1" pivotButton="0" quotePrefix="0" xfId="0">
      <alignment vertical="bottom"/>
    </xf>
    <xf numFmtId="0" fontId="8" fillId="3" borderId="7" applyAlignment="1" pivotButton="0" quotePrefix="0" xfId="0">
      <alignment vertical="center" wrapText="1"/>
    </xf>
    <xf numFmtId="0" fontId="3" fillId="0" borderId="1" applyAlignment="1" pivotButton="0" quotePrefix="0" xfId="0">
      <alignment vertical="center" wrapText="1"/>
    </xf>
    <xf numFmtId="0" fontId="9" fillId="0" borderId="1" applyAlignment="1" pivotButton="0" quotePrefix="0" xfId="0">
      <alignment vertical="center" wrapText="1"/>
    </xf>
    <xf numFmtId="0" fontId="13" fillId="0" borderId="0" pivotButton="0" quotePrefix="0" xfId="0"/>
    <xf numFmtId="0" fontId="9"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0" borderId="11" applyAlignment="1" pivotButton="0" quotePrefix="0" xfId="0">
      <alignment vertical="center" wrapText="1"/>
    </xf>
    <xf numFmtId="0" fontId="14" fillId="0" borderId="0" applyAlignment="1" pivotButton="0" quotePrefix="0" xfId="0">
      <alignment vertical="bottom"/>
    </xf>
    <xf numFmtId="0" fontId="3" fillId="3" borderId="1" applyAlignment="1" pivotButton="0" quotePrefix="0" xfId="0">
      <alignment vertical="center" wrapText="1"/>
    </xf>
    <xf numFmtId="0" fontId="8" fillId="0" borderId="14" applyAlignment="1" pivotButton="0" quotePrefix="0" xfId="0">
      <alignment horizontal="left" vertical="center" wrapText="1"/>
    </xf>
    <xf numFmtId="0" fontId="3" fillId="3" borderId="1" applyAlignment="1" pivotButton="0" quotePrefix="0" xfId="0">
      <alignment vertical="center"/>
    </xf>
    <xf numFmtId="0" fontId="15" fillId="0" borderId="0" applyAlignment="1" pivotButton="0" quotePrefix="0" xfId="0">
      <alignment vertical="bottom"/>
    </xf>
    <xf numFmtId="0" fontId="3" fillId="3" borderId="1" applyAlignment="1" pivotButton="0" quotePrefix="0" xfId="0">
      <alignment horizontal="left" vertical="center" wrapText="1"/>
    </xf>
    <xf numFmtId="0" fontId="3" fillId="0" borderId="0" applyAlignment="1" pivotButton="0" quotePrefix="0" xfId="0">
      <alignment vertical="bottom"/>
    </xf>
    <xf numFmtId="0" fontId="3" fillId="0" borderId="1" applyAlignment="1" pivotButton="0" quotePrefix="0" xfId="0">
      <alignment horizontal="left" vertical="center" wrapText="1"/>
    </xf>
    <xf numFmtId="0" fontId="9" fillId="0" borderId="7" applyAlignment="1" pivotButton="0" quotePrefix="0" xfId="0">
      <alignment horizontal="left" vertical="center" wrapText="1"/>
    </xf>
    <xf numFmtId="0" fontId="3" fillId="0" borderId="1" applyAlignment="1" pivotButton="0" quotePrefix="0" xfId="0">
      <alignment vertical="center" wrapText="1"/>
    </xf>
    <xf numFmtId="0" fontId="3" fillId="3" borderId="1" applyAlignment="1" pivotButton="0" quotePrefix="0" xfId="0">
      <alignment vertical="center"/>
    </xf>
    <xf numFmtId="0" fontId="16" fillId="0" borderId="0" pivotButton="0" quotePrefix="0" xfId="0"/>
    <xf numFmtId="0" fontId="17" fillId="0" borderId="0" applyAlignment="1" pivotButton="0" quotePrefix="0" xfId="0">
      <alignment vertical="center"/>
    </xf>
    <xf numFmtId="0" fontId="3" fillId="0" borderId="7" applyAlignment="1" pivotButton="0" quotePrefix="0" xfId="0">
      <alignment vertical="center" wrapText="1"/>
    </xf>
    <xf numFmtId="0" fontId="3" fillId="0" borderId="1" applyAlignment="1" pivotButton="0" quotePrefix="0" xfId="0">
      <alignment vertical="center" wrapText="1"/>
    </xf>
    <xf numFmtId="0" fontId="18" fillId="0" borderId="0" pivotButton="0" quotePrefix="0" xfId="0"/>
    <xf numFmtId="0" fontId="3" fillId="0" borderId="1" applyAlignment="1" pivotButton="0" quotePrefix="0" xfId="0">
      <alignment vertical="center"/>
    </xf>
    <xf numFmtId="0" fontId="3" fillId="0" borderId="1" applyAlignment="1" pivotButton="0" quotePrefix="0" xfId="0">
      <alignment vertical="center"/>
    </xf>
    <xf numFmtId="0" fontId="3" fillId="0" borderId="0" applyAlignment="1" pivotButton="0" quotePrefix="0" xfId="0">
      <alignment horizontal="left" vertical="center" wrapText="1"/>
    </xf>
    <xf numFmtId="0" fontId="3" fillId="3" borderId="1" applyAlignment="1" pivotButton="0" quotePrefix="0" xfId="0">
      <alignment vertical="center" wrapText="1"/>
    </xf>
    <xf numFmtId="0" fontId="3" fillId="3" borderId="1" applyAlignment="1" pivotButton="0" quotePrefix="0" xfId="0">
      <alignment vertical="center" wrapText="1"/>
    </xf>
    <xf numFmtId="0" fontId="3" fillId="0" borderId="7" applyAlignment="1" pivotButton="0" quotePrefix="0" xfId="0">
      <alignment horizontal="left" vertical="center" wrapText="1"/>
    </xf>
    <xf numFmtId="0" fontId="3" fillId="0" borderId="1" applyAlignment="1" pivotButton="0" quotePrefix="0" xfId="0">
      <alignment vertical="bottom" wrapText="1"/>
    </xf>
    <xf numFmtId="0" fontId="3" fillId="3" borderId="1" applyAlignment="1" pivotButton="0" quotePrefix="0" xfId="0">
      <alignment vertical="bottom" wrapText="1"/>
    </xf>
    <xf numFmtId="0" fontId="7" fillId="3" borderId="14" applyAlignment="1" pivotButton="0" quotePrefix="0" xfId="0">
      <alignment horizontal="center" vertical="top" wrapText="1"/>
    </xf>
    <xf numFmtId="0" fontId="9" fillId="3" borderId="7" applyAlignment="1" pivotButton="0" quotePrefix="0" xfId="0">
      <alignment horizontal="left" vertical="center" wrapText="1"/>
    </xf>
    <xf numFmtId="0" fontId="3" fillId="3" borderId="1" applyAlignment="1" pivotButton="0" quotePrefix="0" xfId="0">
      <alignment vertical="bottom" wrapText="1"/>
    </xf>
    <xf numFmtId="0" fontId="3" fillId="3" borderId="1" applyAlignment="1" pivotButton="0" quotePrefix="0" xfId="0">
      <alignment wrapText="1"/>
    </xf>
    <xf numFmtId="0" fontId="9" fillId="3" borderId="1" applyAlignment="1" pivotButton="0" quotePrefix="0" xfId="0">
      <alignment vertical="top" wrapText="1"/>
    </xf>
    <xf numFmtId="0" fontId="19" fillId="0" borderId="1" applyAlignment="1" pivotButton="0" quotePrefix="0" xfId="0">
      <alignment vertical="center" wrapText="1"/>
    </xf>
    <xf numFmtId="0" fontId="20" fillId="0" borderId="1" applyAlignment="1" pivotButton="0" quotePrefix="0" xfId="0">
      <alignment wrapText="1"/>
    </xf>
    <xf numFmtId="0" fontId="21" fillId="3" borderId="0" applyAlignment="1" pivotButton="0" quotePrefix="0" xfId="0">
      <alignment vertical="top" wrapText="1"/>
    </xf>
    <xf numFmtId="0" fontId="3" fillId="3" borderId="7" applyAlignment="1" pivotButton="0" quotePrefix="0" xfId="0">
      <alignment vertical="center"/>
    </xf>
    <xf numFmtId="165" fontId="9" fillId="3" borderId="1" applyAlignment="1" pivotButton="0" quotePrefix="0" xfId="0">
      <alignment horizontal="center" vertical="center" wrapText="1"/>
    </xf>
    <xf numFmtId="0" fontId="9" fillId="3" borderId="1" applyAlignment="1" pivotButton="0" quotePrefix="0" xfId="0">
      <alignment horizontal="center" vertical="center" wrapText="1"/>
    </xf>
    <xf numFmtId="0" fontId="3" fillId="3" borderId="1" applyAlignment="1" pivotButton="0" quotePrefix="0" xfId="0">
      <alignment wrapText="1"/>
    </xf>
    <xf numFmtId="0" fontId="22" fillId="0" borderId="1" applyAlignment="1" pivotButton="0" quotePrefix="0" xfId="0">
      <alignment vertical="center" wrapText="1"/>
    </xf>
    <xf numFmtId="0" fontId="3" fillId="3" borderId="0" applyAlignment="1" pivotButton="0" quotePrefix="0" xfId="0">
      <alignment wrapText="1"/>
    </xf>
    <xf numFmtId="0" fontId="8" fillId="3" borderId="1" applyAlignment="1" pivotButton="0" quotePrefix="0" xfId="0">
      <alignment horizontal="center" vertical="center" wrapText="1"/>
    </xf>
    <xf numFmtId="0" fontId="3" fillId="10" borderId="1" applyAlignment="1" pivotButton="0" quotePrefix="0" xfId="0">
      <alignment horizontal="left" vertical="center" wrapText="1"/>
    </xf>
    <xf numFmtId="0" fontId="9" fillId="3" borderId="0" applyAlignment="1" pivotButton="0" quotePrefix="0" xfId="0">
      <alignment vertical="top" wrapText="1"/>
    </xf>
    <xf numFmtId="0" fontId="9" fillId="0" borderId="13" applyAlignment="1" pivotButton="0" quotePrefix="0" xfId="0">
      <alignment horizontal="left" vertical="center" wrapText="1"/>
    </xf>
    <xf numFmtId="0" fontId="7" fillId="0" borderId="0" applyAlignment="1" pivotButton="0" quotePrefix="0" xfId="0">
      <alignment horizontal="center" vertical="center" wrapText="1"/>
    </xf>
    <xf numFmtId="0" fontId="7" fillId="0" borderId="0" applyAlignment="1" pivotButton="0" quotePrefix="0" xfId="0">
      <alignment horizontal="center" wrapText="1"/>
    </xf>
    <xf numFmtId="0" fontId="3" fillId="0" borderId="15" applyAlignment="1" pivotButton="0" quotePrefix="0" xfId="0">
      <alignment horizontal="left" vertical="center" wrapText="1"/>
    </xf>
    <xf numFmtId="0" fontId="8" fillId="3" borderId="14" applyAlignment="1" pivotButton="0" quotePrefix="0" xfId="0">
      <alignment vertical="top" wrapText="1"/>
    </xf>
    <xf numFmtId="0" fontId="9" fillId="0" borderId="1" applyAlignment="1" pivotButton="0" quotePrefix="0" xfId="0">
      <alignment horizontal="left" vertical="top" wrapText="1"/>
    </xf>
    <xf numFmtId="0" fontId="3" fillId="3" borderId="7" applyAlignment="1" pivotButton="0" quotePrefix="0" xfId="0">
      <alignment vertical="center" wrapText="1"/>
    </xf>
    <xf numFmtId="0" fontId="23" fillId="3" borderId="1" applyAlignment="1" pivotButton="0" quotePrefix="0" xfId="0">
      <alignment horizontal="center" vertical="top" wrapText="1"/>
    </xf>
    <xf numFmtId="0" fontId="3" fillId="0" borderId="1" applyAlignment="1" pivotButton="0" quotePrefix="0" xfId="0">
      <alignment wrapText="1"/>
    </xf>
    <xf numFmtId="0" fontId="7"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9" applyAlignment="1" pivotButton="0" quotePrefix="0" xfId="0">
      <alignment horizontal="left" vertical="center" wrapText="1"/>
    </xf>
    <xf numFmtId="0" fontId="8" fillId="0" borderId="11" applyAlignment="1" pivotButton="0" quotePrefix="0" xfId="0">
      <alignment horizontal="left" vertical="center" wrapText="1"/>
    </xf>
    <xf numFmtId="0" fontId="8" fillId="0" borderId="1" applyAlignment="1" pivotButton="0" quotePrefix="0" xfId="0">
      <alignment horizontal="left" vertical="center" wrapText="1"/>
    </xf>
    <xf numFmtId="0" fontId="7" fillId="6" borderId="7" applyAlignment="1" pivotButton="0" quotePrefix="0" xfId="0">
      <alignment horizontal="center" wrapText="1"/>
    </xf>
    <xf numFmtId="0" fontId="8" fillId="8" borderId="14" applyAlignment="1" pivotButton="0" quotePrefix="0" xfId="0">
      <alignment vertical="top" wrapText="1"/>
    </xf>
    <xf numFmtId="0" fontId="3" fillId="8" borderId="1" applyAlignment="1" pivotButton="0" quotePrefix="0" xfId="0">
      <alignment vertical="top"/>
    </xf>
    <xf numFmtId="0" fontId="3" fillId="8" borderId="1" applyAlignment="1" pivotButton="0" quotePrefix="0" xfId="0">
      <alignment vertical="top"/>
    </xf>
    <xf numFmtId="0" fontId="3" fillId="0" borderId="0" applyAlignment="1" pivotButton="0" quotePrefix="0" xfId="0">
      <alignment vertical="top"/>
    </xf>
    <xf numFmtId="0" fontId="3" fillId="11" borderId="0" applyAlignment="1" pivotButton="0" quotePrefix="0" xfId="0">
      <alignment vertical="top"/>
    </xf>
    <xf numFmtId="0" fontId="24" fillId="3" borderId="14" applyAlignment="1" pivotButton="0" quotePrefix="0" xfId="0">
      <alignment vertical="top" wrapText="1"/>
    </xf>
    <xf numFmtId="0" fontId="3" fillId="0" borderId="7" applyAlignment="1" pivotButton="0" quotePrefix="0" xfId="0">
      <alignment vertical="center" wrapText="1"/>
    </xf>
    <xf numFmtId="0" fontId="3" fillId="0" borderId="7" applyAlignment="1" pivotButton="0" quotePrefix="0" xfId="0">
      <alignment vertical="bottom" wrapText="1"/>
    </xf>
    <xf numFmtId="0" fontId="3" fillId="0" borderId="1" applyAlignment="1" pivotButton="0" quotePrefix="0" xfId="0">
      <alignment vertical="bottom" wrapText="1"/>
    </xf>
    <xf numFmtId="0" fontId="3" fillId="0" borderId="1" applyAlignment="1" pivotButton="0" quotePrefix="0" xfId="0">
      <alignment vertical="bottom"/>
    </xf>
    <xf numFmtId="0" fontId="8" fillId="0" borderId="14" applyAlignment="1" pivotButton="0" quotePrefix="0" xfId="0">
      <alignment vertical="center" wrapText="1"/>
    </xf>
    <xf numFmtId="0" fontId="3" fillId="0" borderId="1" applyAlignment="1" pivotButton="0" quotePrefix="0" xfId="0">
      <alignment vertical="bottom"/>
    </xf>
    <xf numFmtId="0" fontId="3" fillId="10" borderId="7" applyAlignment="1" pivotButton="0" quotePrefix="0" xfId="0">
      <alignment horizontal="left" vertical="center" wrapText="1"/>
    </xf>
    <xf numFmtId="0" fontId="3" fillId="0" borderId="7" applyAlignment="1" pivotButton="0" quotePrefix="0" xfId="0">
      <alignment vertical="center" wrapText="1"/>
    </xf>
    <xf numFmtId="0" fontId="3" fillId="0" borderId="0" applyAlignment="1" pivotButton="0" quotePrefix="0" xfId="0">
      <alignment wrapText="1"/>
    </xf>
    <xf numFmtId="0" fontId="8" fillId="0" borderId="14" applyAlignment="1" pivotButton="0" quotePrefix="0" xfId="0">
      <alignment vertical="bottom" wrapText="1"/>
    </xf>
    <xf numFmtId="0" fontId="3" fillId="0" borderId="1" applyAlignment="1" pivotButton="0" quotePrefix="0" xfId="0">
      <alignment vertical="bottom"/>
    </xf>
    <xf numFmtId="0" fontId="3" fillId="0" borderId="7" applyAlignment="1" pivotButton="0" quotePrefix="0" xfId="0">
      <alignment vertical="bottom" wrapText="1"/>
    </xf>
    <xf numFmtId="0" fontId="3" fillId="0" borderId="1" applyAlignment="1" pivotButton="0" quotePrefix="0" xfId="0">
      <alignment vertical="bottom" wrapText="1"/>
    </xf>
    <xf numFmtId="0" fontId="9" fillId="0" borderId="1" applyAlignment="1" pivotButton="0" quotePrefix="0" xfId="0">
      <alignment horizontal="left" vertical="center" wrapText="1"/>
    </xf>
    <xf numFmtId="0" fontId="25" fillId="0" borderId="14" applyAlignment="1" pivotButton="0" quotePrefix="0" xfId="0">
      <alignment horizontal="left" vertical="center" wrapText="1"/>
    </xf>
    <xf numFmtId="0" fontId="26" fillId="3" borderId="1" applyAlignment="1" pivotButton="0" quotePrefix="0" xfId="0">
      <alignment vertical="center"/>
    </xf>
    <xf numFmtId="0" fontId="8" fillId="0" borderId="14" applyAlignment="1" pivotButton="0" quotePrefix="0" xfId="0">
      <alignment vertical="bottom"/>
    </xf>
    <xf numFmtId="0" fontId="3" fillId="0" borderId="1" applyAlignment="1" pivotButton="0" quotePrefix="0" xfId="0">
      <alignment vertical="center" wrapText="1"/>
    </xf>
    <xf numFmtId="0" fontId="17" fillId="0" borderId="1" applyAlignment="1" pivotButton="0" quotePrefix="0" xfId="0">
      <alignment vertical="center"/>
    </xf>
    <xf numFmtId="0" fontId="3" fillId="2" borderId="1" applyAlignment="1" pivotButton="0" quotePrefix="0" xfId="0">
      <alignment vertical="bottom" wrapText="1"/>
    </xf>
    <xf numFmtId="0" fontId="3" fillId="0" borderId="1" applyAlignment="1" pivotButton="0" quotePrefix="0" xfId="0">
      <alignment horizontal="center" wrapText="1"/>
    </xf>
    <xf numFmtId="0" fontId="3" fillId="0" borderId="7" applyAlignment="1" pivotButton="0" quotePrefix="0" xfId="0">
      <alignment vertical="bottom"/>
    </xf>
    <xf numFmtId="165" fontId="9" fillId="0" borderId="1" applyAlignment="1" pivotButton="0" quotePrefix="0" xfId="0">
      <alignment horizontal="left" vertical="center" wrapText="1"/>
    </xf>
    <xf numFmtId="0" fontId="3" fillId="2" borderId="7" applyAlignment="1" pivotButton="0" quotePrefix="0" xfId="0">
      <alignment vertical="bottom" wrapText="1"/>
    </xf>
    <xf numFmtId="0" fontId="9" fillId="0" borderId="0" applyAlignment="1" pivotButton="0" quotePrefix="0" xfId="0">
      <alignment horizontal="left" vertical="center" wrapText="1"/>
    </xf>
    <xf numFmtId="0" fontId="8" fillId="0" borderId="14" applyAlignment="1" pivotButton="0" quotePrefix="0" xfId="0">
      <alignment vertical="bottom"/>
    </xf>
    <xf numFmtId="0" fontId="3" fillId="3" borderId="1" applyAlignment="1" pivotButton="0" quotePrefix="0" xfId="0">
      <alignment horizontal="center" wrapText="1"/>
    </xf>
    <xf numFmtId="0" fontId="3" fillId="3" borderId="1" applyAlignment="1" pivotButton="0" quotePrefix="0" xfId="0">
      <alignment vertical="bottom"/>
    </xf>
    <xf numFmtId="0" fontId="3" fillId="3" borderId="1" applyAlignment="1" pivotButton="0" quotePrefix="0" xfId="0">
      <alignment vertical="bottom"/>
    </xf>
    <xf numFmtId="0" fontId="3" fillId="3" borderId="7" applyAlignment="1" pivotButton="0" quotePrefix="0" xfId="0">
      <alignment vertical="bottom"/>
    </xf>
    <xf numFmtId="0" fontId="3" fillId="3" borderId="1" applyAlignment="1" pivotButton="0" quotePrefix="0" xfId="0">
      <alignment vertical="bottom"/>
    </xf>
    <xf numFmtId="0" fontId="9" fillId="3" borderId="1" applyAlignment="1" pivotButton="0" quotePrefix="0" xfId="0">
      <alignment horizontal="left" vertical="center" wrapText="1"/>
    </xf>
    <xf numFmtId="0" fontId="9" fillId="3" borderId="1" applyAlignment="1" pivotButton="0" quotePrefix="0" xfId="0">
      <alignment horizontal="left" vertical="center" wrapText="1"/>
    </xf>
    <xf numFmtId="0" fontId="9" fillId="3" borderId="0" applyAlignment="1" pivotButton="0" quotePrefix="0" xfId="0">
      <alignment horizontal="left" vertical="center" wrapText="1"/>
    </xf>
    <xf numFmtId="0" fontId="3" fillId="0" borderId="0" applyAlignment="1" pivotButton="0" quotePrefix="0" xfId="0">
      <alignment vertical="bottom" wrapText="1"/>
    </xf>
    <xf numFmtId="0" fontId="27" fillId="0" borderId="14" applyAlignment="1" pivotButton="0" quotePrefix="0" xfId="0">
      <alignment vertical="bottom" wrapText="1"/>
    </xf>
    <xf numFmtId="0" fontId="9" fillId="3" borderId="14" applyAlignment="1" pivotButton="0" quotePrefix="0" xfId="0">
      <alignment horizontal="left" vertical="center" wrapText="1"/>
    </xf>
    <xf numFmtId="0" fontId="3" fillId="0" borderId="1" applyAlignment="1" pivotButton="0" quotePrefix="0" xfId="0">
      <alignment vertical="top" wrapText="1"/>
    </xf>
    <xf numFmtId="0" fontId="3" fillId="0" borderId="11" applyAlignment="1" pivotButton="0" quotePrefix="0" xfId="0">
      <alignment horizontal="left" vertical="center" wrapText="1"/>
    </xf>
    <xf numFmtId="0" fontId="9" fillId="0" borderId="6" applyAlignment="1" pivotButton="0" quotePrefix="0" xfId="0">
      <alignment vertical="top" wrapText="1"/>
    </xf>
    <xf numFmtId="0" fontId="3" fillId="3" borderId="6" applyAlignment="1" pivotButton="0" quotePrefix="0" xfId="0">
      <alignment horizontal="left" vertical="center" wrapText="1"/>
    </xf>
    <xf numFmtId="0" fontId="3" fillId="0" borderId="6" applyAlignment="1" pivotButton="0" quotePrefix="0" xfId="0">
      <alignment horizontal="lef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9" fillId="0" borderId="6" applyAlignment="1" pivotButton="0" quotePrefix="0" xfId="0">
      <alignment horizontal="center" vertical="center" wrapText="1"/>
    </xf>
    <xf numFmtId="0" fontId="3" fillId="3" borderId="7" applyAlignment="1" pivotButton="0" quotePrefix="0" xfId="0">
      <alignment vertical="center" wrapText="1"/>
    </xf>
    <xf numFmtId="0" fontId="3" fillId="2" borderId="1" applyAlignment="1" pivotButton="0" quotePrefix="0" xfId="0">
      <alignment vertical="center" wrapText="1"/>
    </xf>
    <xf numFmtId="0" fontId="28" fillId="0" borderId="1" applyAlignment="1" pivotButton="0" quotePrefix="0" xfId="0">
      <alignment horizontal="left" vertical="center" wrapText="1"/>
    </xf>
    <xf numFmtId="0" fontId="29" fillId="3" borderId="9" applyAlignment="1" pivotButton="0" quotePrefix="0" xfId="0">
      <alignment vertical="top" wrapText="1"/>
    </xf>
    <xf numFmtId="0" fontId="30" fillId="3" borderId="11" applyAlignment="1" pivotButton="0" quotePrefix="0" xfId="0">
      <alignment vertical="top" wrapText="1"/>
    </xf>
    <xf numFmtId="0" fontId="28" fillId="0" borderId="0" applyAlignment="1" pivotButton="0" quotePrefix="0" xfId="0">
      <alignment horizontal="left" vertical="center" wrapText="1"/>
    </xf>
    <xf numFmtId="0" fontId="17" fillId="0" borderId="1" pivotButton="0" quotePrefix="0" xfId="0"/>
    <xf numFmtId="0" fontId="3" fillId="0" borderId="7" applyAlignment="1" pivotButton="0" quotePrefix="0" xfId="0">
      <alignment vertical="top" wrapText="1"/>
    </xf>
    <xf numFmtId="0" fontId="3" fillId="3" borderId="1" applyAlignment="1" pivotButton="0" quotePrefix="0" xfId="0">
      <alignment vertical="bottom" wrapText="1"/>
    </xf>
    <xf numFmtId="0" fontId="3" fillId="0" borderId="0" applyAlignment="1" pivotButton="0" quotePrefix="0" xfId="0">
      <alignment horizontal="center" vertical="center" wrapText="1"/>
    </xf>
    <xf numFmtId="0" fontId="3" fillId="0" borderId="1" applyAlignment="1" pivotButton="0" quotePrefix="0" xfId="0">
      <alignment wrapText="1"/>
    </xf>
    <xf numFmtId="0" fontId="3" fillId="10" borderId="1" applyAlignment="1" pivotButton="0" quotePrefix="0" xfId="0">
      <alignment wrapText="1"/>
    </xf>
    <xf numFmtId="0" fontId="3" fillId="10" borderId="7" applyAlignment="1" pivotButton="0" quotePrefix="0" xfId="0">
      <alignment wrapText="1"/>
    </xf>
    <xf numFmtId="0" fontId="3" fillId="0" borderId="7" applyAlignment="1" pivotButton="0" quotePrefix="0" xfId="0">
      <alignment wrapText="1"/>
    </xf>
    <xf numFmtId="0" fontId="8" fillId="0" borderId="1" applyAlignment="1" pivotButton="0" quotePrefix="0" xfId="0">
      <alignment wrapText="1"/>
    </xf>
    <xf numFmtId="0" fontId="8" fillId="0" borderId="0" applyAlignment="1" pivotButton="0" quotePrefix="0" xfId="0">
      <alignment wrapText="1"/>
    </xf>
    <xf numFmtId="0" fontId="28" fillId="10" borderId="1" applyAlignment="1" pivotButton="0" quotePrefix="0" xfId="0">
      <alignment wrapText="1"/>
    </xf>
    <xf numFmtId="0" fontId="8" fillId="0" borderId="1" applyAlignment="1" pivotButton="0" quotePrefix="0" xfId="0">
      <alignment vertical="bottom" wrapText="1"/>
    </xf>
    <xf numFmtId="0" fontId="31" fillId="0" borderId="3" applyAlignment="1" pivotButton="0" quotePrefix="0" xfId="0">
      <alignment wrapText="1"/>
    </xf>
    <xf numFmtId="0" fontId="4" fillId="0" borderId="3" pivotButton="0" quotePrefix="0" xfId="0"/>
    <xf numFmtId="0" fontId="9" fillId="0" borderId="1" applyAlignment="1" pivotButton="0" quotePrefix="0" xfId="0">
      <alignment horizontal="left" wrapText="1"/>
    </xf>
    <xf numFmtId="0" fontId="3" fillId="3" borderId="1" applyAlignment="1" pivotButton="0" quotePrefix="0" xfId="0">
      <alignment vertical="top" wrapText="1"/>
    </xf>
    <xf numFmtId="0" fontId="3" fillId="0" borderId="1" applyAlignment="1" pivotButton="0" quotePrefix="0" xfId="0">
      <alignment wrapText="1"/>
    </xf>
    <xf numFmtId="0" fontId="9" fillId="0" borderId="0" applyAlignment="1" pivotButton="0" quotePrefix="0" xfId="0">
      <alignment horizontal="left" vertical="top" wrapText="1"/>
    </xf>
    <xf numFmtId="0" fontId="3" fillId="0" borderId="1" applyAlignment="1" pivotButton="0" quotePrefix="0" xfId="0">
      <alignment vertical="top" wrapText="1"/>
    </xf>
    <xf numFmtId="0" fontId="9" fillId="0" borderId="1" applyAlignment="1" pivotButton="0" quotePrefix="0" xfId="0">
      <alignment wrapText="1"/>
    </xf>
    <xf numFmtId="0" fontId="9" fillId="0" borderId="7" applyAlignment="1" pivotButton="0" quotePrefix="0" xfId="0">
      <alignment horizontal="left" wrapText="1"/>
    </xf>
    <xf numFmtId="0" fontId="9" fillId="0" borderId="0" applyAlignment="1" pivotButton="0" quotePrefix="0" xfId="0">
      <alignment wrapText="1"/>
    </xf>
    <xf numFmtId="0" fontId="3" fillId="3" borderId="1" applyAlignment="1" pivotButton="0" quotePrefix="0" xfId="0">
      <alignment vertical="bottom" wrapText="1"/>
    </xf>
    <xf numFmtId="0" fontId="9" fillId="2" borderId="7" applyAlignment="1" pivotButton="0" quotePrefix="0" xfId="0">
      <alignment horizontal="left" vertical="center" wrapText="1"/>
    </xf>
    <xf numFmtId="0" fontId="32" fillId="0" borderId="3" pivotButton="0" quotePrefix="0" xfId="0"/>
    <xf numFmtId="0" fontId="28" fillId="0" borderId="1" applyAlignment="1" pivotButton="0" quotePrefix="0" xfId="0">
      <alignment horizontal="left" wrapText="1"/>
    </xf>
    <xf numFmtId="0" fontId="28" fillId="0" borderId="1" applyAlignment="1" pivotButton="0" quotePrefix="0" xfId="0">
      <alignment horizontal="left" vertical="top" wrapText="1"/>
    </xf>
    <xf numFmtId="0" fontId="17" fillId="0" borderId="0" applyAlignment="1" pivotButton="0" quotePrefix="0" xfId="0">
      <alignment vertical="top"/>
    </xf>
    <xf numFmtId="0" fontId="3" fillId="0" borderId="7" applyAlignment="1" pivotButton="0" quotePrefix="0" xfId="0">
      <alignment wrapText="1"/>
    </xf>
    <xf numFmtId="0" fontId="3" fillId="10" borderId="1" applyAlignment="1" pivotButton="0" quotePrefix="0" xfId="0">
      <alignment vertical="bottom" wrapText="1"/>
    </xf>
    <xf numFmtId="0" fontId="17" fillId="0" borderId="0" pivotButton="0" quotePrefix="0" xfId="0"/>
    <xf numFmtId="0" fontId="8" fillId="8" borderId="14" applyAlignment="1" pivotButton="0" quotePrefix="0" xfId="0">
      <alignment vertical="bottom" wrapText="1"/>
    </xf>
    <xf numFmtId="0" fontId="3" fillId="8" borderId="1" applyAlignment="1" pivotButton="0" quotePrefix="0" xfId="0">
      <alignment vertical="bottom"/>
    </xf>
    <xf numFmtId="0" fontId="3" fillId="8" borderId="1" applyAlignment="1" pivotButton="0" quotePrefix="0" xfId="0">
      <alignment vertical="bottom"/>
    </xf>
    <xf numFmtId="0" fontId="3" fillId="0" borderId="14" applyAlignment="1" pivotButton="0" quotePrefix="0" xfId="0">
      <alignment vertical="bottom" wrapText="1"/>
    </xf>
    <xf numFmtId="0" fontId="28" fillId="2" borderId="0" applyAlignment="1" pivotButton="0" quotePrefix="0" xfId="0">
      <alignment wrapText="1"/>
    </xf>
    <xf numFmtId="0" fontId="17" fillId="0" borderId="1" pivotButton="0" quotePrefix="0" xfId="0"/>
    <xf numFmtId="0" fontId="33" fillId="0" borderId="1" applyAlignment="1" pivotButton="0" quotePrefix="0" xfId="0">
      <alignment wrapText="1"/>
    </xf>
    <xf numFmtId="0" fontId="34" fillId="0" borderId="1" pivotButton="0" quotePrefix="0" xfId="0"/>
    <xf numFmtId="0" fontId="17" fillId="0" borderId="1" applyAlignment="1" pivotButton="0" quotePrefix="0" xfId="0">
      <alignment wrapText="1"/>
    </xf>
    <xf numFmtId="0" fontId="3" fillId="0" borderId="7" applyAlignment="1" pivotButton="0" quotePrefix="0" xfId="0">
      <alignment vertical="bottom" wrapText="1"/>
    </xf>
    <xf numFmtId="0" fontId="3" fillId="0" borderId="1" applyAlignment="1" pivotButton="0" quotePrefix="0" xfId="0">
      <alignment vertical="bottom" wrapText="1"/>
    </xf>
    <xf numFmtId="0" fontId="34" fillId="0" borderId="1" applyAlignment="1" pivotButton="0" quotePrefix="0" xfId="0">
      <alignment wrapText="1"/>
    </xf>
    <xf numFmtId="0" fontId="27" fillId="0" borderId="1" applyAlignment="1" pivotButton="0" quotePrefix="0" xfId="0">
      <alignment vertical="bottom" wrapText="1"/>
    </xf>
    <xf numFmtId="0" fontId="3" fillId="0" borderId="13" applyAlignment="1" pivotButton="0" quotePrefix="0" xfId="0">
      <alignment vertical="bottom" wrapText="1"/>
    </xf>
    <xf numFmtId="0" fontId="8" fillId="0" borderId="1" applyAlignment="1" pivotButton="0" quotePrefix="0" xfId="0">
      <alignment vertical="top" wrapText="1"/>
    </xf>
    <xf numFmtId="0" fontId="3" fillId="0" borderId="1" applyAlignment="1" pivotButton="0" quotePrefix="0" xfId="0">
      <alignment vertical="top"/>
    </xf>
    <xf numFmtId="0" fontId="5" fillId="0" borderId="14" applyAlignment="1" pivotButton="0" quotePrefix="0" xfId="0">
      <alignment vertical="bottom"/>
    </xf>
    <xf numFmtId="0" fontId="8" fillId="3" borderId="14" applyAlignment="1" pivotButton="0" quotePrefix="0" xfId="0">
      <alignment horizontal="center" vertical="top" wrapText="1"/>
    </xf>
    <xf numFmtId="0" fontId="8" fillId="3" borderId="14" applyAlignment="1" pivotButton="0" quotePrefix="0" xfId="0">
      <alignment vertical="bottom" wrapText="1"/>
    </xf>
    <xf numFmtId="0" fontId="8" fillId="0" borderId="1" applyAlignment="1" pivotButton="0" quotePrefix="0" xfId="0">
      <alignment vertical="bottom"/>
    </xf>
    <xf numFmtId="0" fontId="5" fillId="0" borderId="0" applyAlignment="1" pivotButton="0" quotePrefix="0" xfId="0">
      <alignment vertical="bottom"/>
    </xf>
    <xf numFmtId="0" fontId="5" fillId="0" borderId="1" applyAlignment="1" pivotButton="0" quotePrefix="0" xfId="0">
      <alignment vertical="bottom"/>
    </xf>
    <xf numFmtId="0" fontId="5" fillId="3" borderId="1" applyAlignment="1" pivotButton="0" quotePrefix="0" xfId="0">
      <alignment vertical="bottom"/>
    </xf>
    <xf numFmtId="0" fontId="5" fillId="3" borderId="1" applyAlignment="1" pivotButton="0" quotePrefix="0" xfId="0">
      <alignment vertical="top"/>
    </xf>
    <xf numFmtId="0" fontId="8" fillId="3" borderId="1" applyAlignment="1" pivotButton="0" quotePrefix="0" xfId="0">
      <alignment vertical="top" wrapText="1"/>
    </xf>
    <xf numFmtId="0" fontId="8" fillId="3" borderId="0" applyAlignment="1" pivotButton="0" quotePrefix="0" xfId="0">
      <alignment vertical="bottom"/>
    </xf>
    <xf numFmtId="0" fontId="8" fillId="3" borderId="1" applyAlignment="1" pivotButton="0" quotePrefix="0" xfId="0">
      <alignment vertical="bottom" wrapText="1"/>
    </xf>
    <xf numFmtId="0" fontId="3" fillId="3" borderId="1" applyAlignment="1" pivotButton="0" quotePrefix="0" xfId="0">
      <alignment horizontal="right" vertical="top" wrapText="1"/>
    </xf>
    <xf numFmtId="0" fontId="8" fillId="6" borderId="7" applyAlignment="1" pivotButton="0" quotePrefix="0" xfId="0">
      <alignment wrapText="1"/>
    </xf>
    <xf numFmtId="0" fontId="8" fillId="6" borderId="18" applyAlignment="1" pivotButton="0" quotePrefix="0" xfId="0">
      <alignment wrapText="1"/>
    </xf>
    <xf numFmtId="0" fontId="35" fillId="3" borderId="14" applyAlignment="1" pivotButton="0" quotePrefix="0" xfId="0">
      <alignment vertical="bottom" wrapText="1"/>
    </xf>
    <xf numFmtId="0" fontId="3" fillId="0" borderId="1" applyAlignment="1" pivotButton="0" quotePrefix="0" xfId="0">
      <alignment horizontal="center" vertical="bottom" wrapText="1"/>
    </xf>
    <xf numFmtId="0" fontId="3" fillId="0" borderId="7" applyAlignment="1" pivotButton="0" quotePrefix="0" xfId="0">
      <alignment wrapText="1"/>
    </xf>
    <xf numFmtId="0" fontId="3" fillId="0" borderId="1" applyAlignment="1" pivotButton="0" quotePrefix="0" xfId="0">
      <alignment horizontal="left" vertical="center" wrapText="1"/>
    </xf>
    <xf numFmtId="0" fontId="5" fillId="0" borderId="1" applyAlignment="1" pivotButton="0" quotePrefix="0" xfId="0">
      <alignment vertical="top"/>
    </xf>
    <xf numFmtId="165" fontId="5" fillId="0" borderId="1" applyAlignment="1" pivotButton="0" quotePrefix="0" xfId="0">
      <alignment vertical="bottom"/>
    </xf>
    <xf numFmtId="0" fontId="3" fillId="0" borderId="1" applyAlignment="1" pivotButton="0" quotePrefix="0" xfId="0">
      <alignment horizontal="center" vertical="bottom"/>
    </xf>
    <xf numFmtId="0" fontId="3" fillId="3" borderId="1" applyAlignment="1" pivotButton="0" quotePrefix="0" xfId="0">
      <alignment horizontal="left" vertical="center" wrapText="1"/>
    </xf>
    <xf numFmtId="0" fontId="8" fillId="0" borderId="14" applyAlignment="1" pivotButton="0" quotePrefix="0" xfId="0">
      <alignment vertical="bottom" wrapText="1"/>
    </xf>
    <xf numFmtId="0" fontId="3" fillId="0" borderId="14" applyAlignment="1" pivotButton="0" quotePrefix="0" xfId="0">
      <alignment horizontal="left" vertical="center" wrapText="1"/>
    </xf>
    <xf numFmtId="0" fontId="8" fillId="3" borderId="14" applyAlignment="1" pivotButton="0" quotePrefix="0" xfId="0">
      <alignment horizontal="center" vertical="center" wrapText="1"/>
    </xf>
    <xf numFmtId="0" fontId="3" fillId="0" borderId="1" applyAlignment="1" pivotButton="0" quotePrefix="0" xfId="0">
      <alignment horizontal="center" vertical="bottom"/>
    </xf>
    <xf numFmtId="0" fontId="5" fillId="0" borderId="1" applyAlignment="1" pivotButton="0" quotePrefix="0" xfId="0">
      <alignment vertical="top"/>
    </xf>
    <xf numFmtId="0" fontId="3" fillId="0" borderId="0" applyAlignment="1" pivotButton="0" quotePrefix="0" xfId="0">
      <alignment wrapText="1"/>
    </xf>
    <xf numFmtId="0" fontId="8" fillId="3" borderId="14" applyAlignment="1" pivotButton="0" quotePrefix="0" xfId="0">
      <alignment horizontal="left" vertical="center" wrapText="1"/>
    </xf>
    <xf numFmtId="0" fontId="36" fillId="0" borderId="1" applyAlignment="1" pivotButton="0" quotePrefix="0" xfId="0">
      <alignment vertical="top"/>
    </xf>
    <xf numFmtId="0" fontId="8" fillId="3" borderId="1" applyAlignment="1" pivotButton="0" quotePrefix="0" xfId="0">
      <alignment vertical="center" wrapText="1"/>
    </xf>
    <xf numFmtId="0" fontId="3" fillId="3" borderId="1" applyAlignment="1" pivotButton="0" quotePrefix="0" xfId="0">
      <alignment vertical="center" wrapText="1"/>
    </xf>
    <xf numFmtId="0" fontId="3" fillId="0" borderId="1" applyAlignment="1" pivotButton="0" quotePrefix="0" xfId="0">
      <alignment horizontal="left" vertical="center" wrapText="1"/>
    </xf>
    <xf numFmtId="0" fontId="8" fillId="3" borderId="1" applyAlignment="1" pivotButton="0" quotePrefix="0" xfId="0">
      <alignment horizontal="left" vertical="center" wrapText="1"/>
    </xf>
    <xf numFmtId="0" fontId="3" fillId="0" borderId="7" applyAlignment="1" pivotButton="0" quotePrefix="0" xfId="0">
      <alignment horizontal="left" vertical="center" wrapText="1"/>
    </xf>
    <xf numFmtId="0" fontId="3" fillId="3" borderId="1" applyAlignment="1" pivotButton="0" quotePrefix="0" xfId="0">
      <alignment horizontal="left" vertical="center" wrapText="1"/>
    </xf>
    <xf numFmtId="0" fontId="8" fillId="3" borderId="14" applyAlignment="1" pivotButton="0" quotePrefix="0" xfId="0">
      <alignment horizontal="left" vertical="center" wrapText="1"/>
    </xf>
    <xf numFmtId="0" fontId="3" fillId="3" borderId="14" applyAlignment="1" pivotButton="0" quotePrefix="0" xfId="0">
      <alignment horizontal="left" vertical="center" wrapText="1"/>
    </xf>
    <xf numFmtId="0" fontId="37" fillId="0" borderId="7" applyAlignment="1" pivotButton="0" quotePrefix="0" xfId="0">
      <alignment horizontal="left" vertical="center" wrapText="1"/>
    </xf>
    <xf numFmtId="0" fontId="37" fillId="0" borderId="1" applyAlignment="1" pivotButton="0" quotePrefix="0" xfId="0">
      <alignment horizontal="left" vertical="center" wrapText="1"/>
    </xf>
    <xf numFmtId="0" fontId="37" fillId="3" borderId="1" applyAlignment="1" pivotButton="0" quotePrefix="0" xfId="0">
      <alignment horizontal="left" vertical="center" wrapText="1"/>
    </xf>
    <xf numFmtId="0" fontId="8" fillId="6" borderId="7" applyAlignment="1" pivotButton="0" quotePrefix="0" xfId="0">
      <alignment horizontal="left" vertical="center" wrapText="1"/>
    </xf>
    <xf numFmtId="0" fontId="5" fillId="0" borderId="1" applyAlignment="1" pivotButton="0" quotePrefix="0" xfId="0">
      <alignment vertical="bottom"/>
    </xf>
    <xf numFmtId="0" fontId="8" fillId="6" borderId="7" applyAlignment="1" pivotButton="0" quotePrefix="0" xfId="0">
      <alignment horizontal="center" vertical="center" wrapText="1"/>
    </xf>
    <xf numFmtId="0" fontId="3" fillId="3" borderId="1" applyAlignment="1" pivotButton="0" quotePrefix="0" xfId="0">
      <alignment wrapText="1"/>
    </xf>
    <xf numFmtId="0" fontId="8" fillId="8" borderId="14" applyAlignment="1" pivotButton="0" quotePrefix="0" xfId="0">
      <alignment horizontal="left" vertical="center" wrapText="1"/>
    </xf>
    <xf numFmtId="0" fontId="3" fillId="8" borderId="1" applyAlignment="1" pivotButton="0" quotePrefix="0" xfId="0">
      <alignment vertical="center" wrapText="1"/>
    </xf>
    <xf numFmtId="0" fontId="17" fillId="3" borderId="0" pivotButton="0" quotePrefix="0" xfId="0"/>
    <xf numFmtId="0" fontId="3" fillId="3" borderId="1" applyAlignment="1" pivotButton="0" quotePrefix="0" xfId="0">
      <alignment wrapText="1"/>
    </xf>
    <xf numFmtId="0" fontId="3" fillId="3" borderId="14" applyAlignment="1" pivotButton="0" quotePrefix="0" xfId="0">
      <alignment horizontal="left" vertical="center" wrapText="1"/>
    </xf>
    <xf numFmtId="165" fontId="5" fillId="3" borderId="1" applyAlignment="1" pivotButton="0" quotePrefix="0" xfId="0">
      <alignment vertical="bottom"/>
    </xf>
    <xf numFmtId="0" fontId="9" fillId="0" borderId="1" applyAlignment="1" pivotButton="0" quotePrefix="0" xfId="0">
      <alignment horizontal="left" vertical="center" wrapText="1"/>
    </xf>
    <xf numFmtId="165" fontId="3" fillId="0" borderId="1" applyAlignment="1" pivotButton="0" quotePrefix="0" xfId="0">
      <alignment vertical="center" wrapText="1"/>
    </xf>
    <xf numFmtId="0" fontId="3" fillId="0" borderId="1" applyAlignment="1" pivotButton="0" quotePrefix="0" xfId="0">
      <alignment horizontal="center" vertical="center" wrapText="1"/>
    </xf>
    <xf numFmtId="0" fontId="8" fillId="0" borderId="14" applyAlignment="1" pivotButton="0" quotePrefix="0" xfId="0">
      <alignment vertical="top" wrapText="1"/>
    </xf>
    <xf numFmtId="0" fontId="5" fillId="0" borderId="19" applyAlignment="1" pivotButton="0" quotePrefix="0" xfId="0">
      <alignment vertical="bottom"/>
    </xf>
    <xf numFmtId="0" fontId="5" fillId="0" borderId="18" applyAlignment="1" pivotButton="0" quotePrefix="0" xfId="0">
      <alignment vertical="bottom"/>
    </xf>
    <xf numFmtId="0" fontId="5" fillId="0" borderId="11" applyAlignment="1" pivotButton="0" quotePrefix="0" xfId="0">
      <alignment vertical="top"/>
    </xf>
    <xf numFmtId="0" fontId="5" fillId="0" borderId="0" applyAlignment="1" pivotButton="0" quotePrefix="0" xfId="0">
      <alignment vertical="top"/>
    </xf>
    <xf numFmtId="0" fontId="5" fillId="0" borderId="1" applyAlignment="1" pivotButton="0" quotePrefix="0" xfId="0">
      <alignment horizontal="left" vertical="center" wrapText="1"/>
    </xf>
    <xf numFmtId="165" fontId="5" fillId="0" borderId="1" applyAlignment="1" pivotButton="0" quotePrefix="0" xfId="0">
      <alignment horizontal="left" vertical="center" wrapText="1"/>
    </xf>
    <xf numFmtId="0" fontId="3" fillId="12" borderId="1" applyAlignment="1" pivotButton="0" quotePrefix="0" xfId="0">
      <alignment vertical="bottom" wrapText="1"/>
    </xf>
    <xf numFmtId="0" fontId="3" fillId="12" borderId="1" applyAlignment="1" pivotButton="0" quotePrefix="0" xfId="0">
      <alignment vertical="bottom"/>
    </xf>
    <xf numFmtId="0" fontId="5" fillId="3" borderId="1" applyAlignment="1" pivotButton="0" quotePrefix="0" xfId="0">
      <alignment horizontal="left" vertical="center" wrapText="1"/>
    </xf>
    <xf numFmtId="165" fontId="5" fillId="3" borderId="1" applyAlignment="1" pivotButton="0" quotePrefix="0" xfId="0">
      <alignment horizontal="left" vertical="center" wrapText="1"/>
    </xf>
    <xf numFmtId="0" fontId="8" fillId="0" borderId="14" applyAlignment="1" pivotButton="0" quotePrefix="0" xfId="0">
      <alignment horizontal="left" vertical="center" wrapText="1"/>
    </xf>
    <xf numFmtId="0" fontId="5" fillId="3" borderId="7" applyAlignment="1" pivotButton="0" quotePrefix="0" xfId="0">
      <alignment vertical="bottom"/>
    </xf>
    <xf numFmtId="0" fontId="3" fillId="0" borderId="1" applyAlignment="1" pivotButton="0" quotePrefix="0" xfId="0">
      <alignment vertical="bottom" wrapText="1"/>
    </xf>
    <xf numFmtId="0" fontId="3" fillId="13" borderId="1" applyAlignment="1" pivotButton="0" quotePrefix="0" xfId="0">
      <alignment vertical="bottom"/>
    </xf>
    <xf numFmtId="0" fontId="3" fillId="0" borderId="7" applyAlignment="1" pivotButton="0" quotePrefix="0" xfId="0">
      <alignment vertical="bottom" wrapText="1"/>
    </xf>
    <xf numFmtId="164" fontId="3" fillId="0" borderId="1" applyAlignment="1" pivotButton="0" quotePrefix="0" xfId="0">
      <alignment horizontal="center" vertical="bottom" wrapText="1"/>
    </xf>
    <xf numFmtId="0" fontId="37" fillId="3" borderId="1" applyAlignment="1" pivotButton="0" quotePrefix="0" xfId="0">
      <alignment horizontal="left" vertical="center" wrapText="1"/>
    </xf>
    <xf numFmtId="0" fontId="27" fillId="0" borderId="14" applyAlignment="1" pivotButton="0" quotePrefix="0" xfId="0">
      <alignment vertical="bottom" wrapText="1"/>
    </xf>
    <xf numFmtId="0" fontId="5" fillId="3" borderId="0" applyAlignment="1" pivotButton="0" quotePrefix="0" xfId="0">
      <alignment vertical="bottom"/>
    </xf>
    <xf numFmtId="0" fontId="37" fillId="3" borderId="7" applyAlignment="1" pivotButton="0" quotePrefix="0" xfId="0">
      <alignment horizontal="left" vertical="center" wrapText="1"/>
    </xf>
    <xf numFmtId="0" fontId="8" fillId="0" borderId="14" applyAlignment="1" pivotButton="0" quotePrefix="0" xfId="0">
      <alignment vertical="top" wrapText="1"/>
    </xf>
    <xf numFmtId="0" fontId="5" fillId="3" borderId="14" applyAlignment="1" pivotButton="0" quotePrefix="0" xfId="0">
      <alignment vertical="bottom"/>
    </xf>
    <xf numFmtId="0" fontId="3" fillId="0" borderId="1" applyAlignment="1" pivotButton="0" quotePrefix="0" xfId="0">
      <alignment horizontal="center" vertical="bottom" wrapText="1"/>
    </xf>
    <xf numFmtId="0" fontId="3" fillId="0" borderId="1" pivotButton="0" quotePrefix="0" xfId="0"/>
    <xf numFmtId="0" fontId="3" fillId="0" borderId="0" pivotButton="0" quotePrefix="0" xfId="0"/>
    <xf numFmtId="0" fontId="3" fillId="0" borderId="13" applyAlignment="1" pivotButton="0" quotePrefix="0" xfId="0">
      <alignment wrapText="1"/>
    </xf>
    <xf numFmtId="0" fontId="37" fillId="0" borderId="1" applyAlignment="1" pivotButton="0" quotePrefix="0" xfId="0">
      <alignment horizontal="left" vertical="center" wrapText="1"/>
    </xf>
    <xf numFmtId="0" fontId="5" fillId="0" borderId="1" applyAlignment="1" pivotButton="0" quotePrefix="0" xfId="0">
      <alignment vertical="bottom"/>
    </xf>
    <xf numFmtId="0" fontId="5" fillId="3" borderId="19" applyAlignment="1" pivotButton="0" quotePrefix="0" xfId="0">
      <alignment vertical="bottom"/>
    </xf>
    <xf numFmtId="0" fontId="5" fillId="3" borderId="18" applyAlignment="1" pivotButton="0" quotePrefix="0" xfId="0">
      <alignment vertical="bottom"/>
    </xf>
    <xf numFmtId="0" fontId="37" fillId="2" borderId="1" applyAlignment="1" pivotButton="0" quotePrefix="0" xfId="0">
      <alignment horizontal="left" vertical="center" wrapText="1"/>
    </xf>
    <xf numFmtId="0" fontId="37" fillId="2" borderId="1" applyAlignment="1" pivotButton="0" quotePrefix="0" xfId="0">
      <alignment horizontal="left" vertical="center" wrapText="1"/>
    </xf>
    <xf numFmtId="0" fontId="8" fillId="0" borderId="14" applyAlignment="1" pivotButton="0" quotePrefix="0" xfId="0">
      <alignment vertical="bottom" wrapText="1"/>
    </xf>
    <xf numFmtId="0" fontId="3" fillId="2" borderId="1" applyAlignment="1" pivotButton="0" quotePrefix="0" xfId="0">
      <alignment vertical="bottom"/>
    </xf>
    <xf numFmtId="0" fontId="5" fillId="0" borderId="1" pivotButton="0" quotePrefix="0" xfId="0"/>
    <xf numFmtId="0" fontId="37" fillId="0" borderId="7" applyAlignment="1" pivotButton="0" quotePrefix="0" xfId="0">
      <alignment wrapText="1"/>
    </xf>
    <xf numFmtId="0" fontId="5" fillId="0" borderId="1" applyAlignment="1" pivotButton="0" quotePrefix="0" xfId="0">
      <alignment horizontal="left" vertical="center"/>
    </xf>
    <xf numFmtId="0" fontId="3" fillId="0" borderId="1" applyAlignment="1" pivotButton="0" quotePrefix="0" xfId="0">
      <alignment vertical="bottom"/>
    </xf>
    <xf numFmtId="0" fontId="3" fillId="0" borderId="0" applyAlignment="1" pivotButton="0" quotePrefix="0" xfId="0">
      <alignment vertical="bottom"/>
    </xf>
    <xf numFmtId="0" fontId="37" fillId="0" borderId="1" applyAlignment="1" pivotButton="0" quotePrefix="0" xfId="0">
      <alignment horizontal="left" vertical="center"/>
    </xf>
    <xf numFmtId="0" fontId="37" fillId="0" borderId="1" applyAlignment="1" pivotButton="0" quotePrefix="0" xfId="0">
      <alignment horizontal="left" vertical="center"/>
    </xf>
    <xf numFmtId="0" fontId="37" fillId="0" borderId="7" applyAlignment="1" pivotButton="0" quotePrefix="0" xfId="0">
      <alignment horizontal="left" vertical="center"/>
    </xf>
    <xf numFmtId="0" fontId="38" fillId="0" borderId="1" applyAlignment="1" pivotButton="0" quotePrefix="0" xfId="0">
      <alignment vertical="bottom"/>
    </xf>
    <xf numFmtId="0" fontId="39" fillId="0" borderId="1" applyAlignment="1" pivotButton="0" quotePrefix="0" xfId="0">
      <alignment vertical="bottom"/>
    </xf>
    <xf numFmtId="0" fontId="3" fillId="2" borderId="1" applyAlignment="1" pivotButton="0" quotePrefix="0" xfId="0">
      <alignment vertical="bottom"/>
    </xf>
    <xf numFmtId="0" fontId="3" fillId="0" borderId="1" pivotButton="0" quotePrefix="0" xfId="0"/>
    <xf numFmtId="0" fontId="3" fillId="0" borderId="0" applyAlignment="1" pivotButton="0" quotePrefix="0" xfId="0">
      <alignment horizontal="left" vertical="center" wrapText="1"/>
    </xf>
    <xf numFmtId="165" fontId="5" fillId="0" borderId="1" pivotButton="0" quotePrefix="0" xfId="0"/>
    <xf numFmtId="0" fontId="3" fillId="2" borderId="1" applyAlignment="1" pivotButton="0" quotePrefix="0" xfId="0">
      <alignment vertical="bottom" wrapText="1"/>
    </xf>
    <xf numFmtId="0" fontId="40" fillId="0" borderId="1" pivotButton="0" quotePrefix="0" xfId="0"/>
    <xf numFmtId="0" fontId="5" fillId="0" borderId="0" pivotButton="0" quotePrefix="0" xfId="0"/>
    <xf numFmtId="165" fontId="3" fillId="8" borderId="1" applyAlignment="1" pivotButton="0" quotePrefix="0" xfId="0">
      <alignment vertical="top"/>
    </xf>
    <xf numFmtId="0" fontId="41" fillId="3" borderId="14" applyAlignment="1" pivotButton="0" quotePrefix="0" xfId="0">
      <alignment wrapText="1"/>
    </xf>
    <xf numFmtId="0" fontId="3" fillId="0" borderId="1" applyAlignment="1" pivotButton="0" quotePrefix="0" xfId="0">
      <alignment horizontal="center" wrapText="1"/>
    </xf>
    <xf numFmtId="0" fontId="3" fillId="0" borderId="7" applyAlignment="1" pivotButton="0" quotePrefix="0" xfId="0">
      <alignment vertical="top" wrapText="1"/>
    </xf>
    <xf numFmtId="0" fontId="3" fillId="0" borderId="1" applyAlignment="1" pivotButton="0" quotePrefix="0" xfId="0">
      <alignment vertical="top"/>
    </xf>
    <xf numFmtId="0" fontId="5" fillId="0" borderId="1" applyAlignment="1" pivotButton="0" quotePrefix="0" xfId="0">
      <alignment vertical="top"/>
    </xf>
    <xf numFmtId="165" fontId="3" fillId="0" borderId="1" applyAlignment="1" pivotButton="0" quotePrefix="0" xfId="0">
      <alignment horizontal="center" wrapText="1"/>
    </xf>
    <xf numFmtId="0" fontId="3" fillId="14" borderId="1" applyAlignment="1" pivotButton="0" quotePrefix="0" xfId="0">
      <alignment horizontal="center"/>
    </xf>
    <xf numFmtId="0" fontId="5" fillId="0" borderId="1" applyAlignment="1" pivotButton="0" quotePrefix="0" xfId="0">
      <alignment vertical="top"/>
    </xf>
    <xf numFmtId="0" fontId="37" fillId="0" borderId="1" applyAlignment="1" pivotButton="0" quotePrefix="0" xfId="0">
      <alignment horizontal="left" vertical="center" wrapText="1"/>
    </xf>
    <xf numFmtId="0" fontId="3" fillId="3" borderId="1" applyAlignment="1" pivotButton="0" quotePrefix="0" xfId="0">
      <alignment vertical="top" wrapText="1"/>
    </xf>
    <xf numFmtId="165" fontId="5" fillId="0" borderId="1" applyAlignment="1" pivotButton="0" quotePrefix="0" xfId="0">
      <alignment vertical="top"/>
    </xf>
    <xf numFmtId="0" fontId="3" fillId="0" borderId="1" applyAlignment="1" pivotButton="0" quotePrefix="0" xfId="0">
      <alignment vertical="top" wrapText="1"/>
    </xf>
    <xf numFmtId="0" fontId="3" fillId="0" borderId="14" applyAlignment="1" pivotButton="0" quotePrefix="0" xfId="0">
      <alignment vertical="top" wrapText="1"/>
    </xf>
    <xf numFmtId="0" fontId="5" fillId="0" borderId="14" applyAlignment="1" pivotButton="0" quotePrefix="0" xfId="0">
      <alignment vertical="bottom"/>
    </xf>
    <xf numFmtId="0" fontId="5" fillId="0"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1" applyAlignment="1" pivotButton="0" quotePrefix="0" xfId="0">
      <alignment vertical="bottom"/>
    </xf>
    <xf numFmtId="0" fontId="3" fillId="0" borderId="7" applyAlignment="1" pivotButton="0" quotePrefix="0" xfId="0">
      <alignment horizontal="left" vertical="center" wrapText="1"/>
    </xf>
    <xf numFmtId="0" fontId="5" fillId="0" borderId="7" applyAlignment="1" pivotButton="0" quotePrefix="0" xfId="0">
      <alignment horizontal="left" vertical="center" wrapText="1"/>
    </xf>
    <xf numFmtId="0" fontId="37" fillId="3" borderId="1" applyAlignment="1" pivotButton="0" quotePrefix="0" xfId="0">
      <alignment horizontal="left" vertical="center" wrapText="1"/>
    </xf>
    <xf numFmtId="0" fontId="3" fillId="0" borderId="1" applyAlignment="1" pivotButton="0" quotePrefix="0" xfId="0">
      <alignment horizontal="center" vertical="bottom" wrapText="1"/>
    </xf>
    <xf numFmtId="0" fontId="8" fillId="0" borderId="14" applyAlignment="1" pivotButton="0" quotePrefix="0" xfId="0">
      <alignment wrapText="1"/>
    </xf>
    <xf numFmtId="0" fontId="5" fillId="3" borderId="1" applyAlignment="1" pivotButton="0" quotePrefix="0" xfId="0">
      <alignment horizontal="left" vertical="center" wrapText="1"/>
    </xf>
    <xf numFmtId="0" fontId="5" fillId="3" borderId="1" applyAlignment="1" pivotButton="0" quotePrefix="0" xfId="0">
      <alignment horizontal="left" vertical="center" wrapText="1"/>
    </xf>
    <xf numFmtId="165" fontId="3" fillId="3" borderId="1" applyAlignment="1" pivotButton="0" quotePrefix="0" xfId="0">
      <alignment horizontal="center" wrapText="1"/>
    </xf>
    <xf numFmtId="0" fontId="3" fillId="3" borderId="0" applyAlignment="1" pivotButton="0" quotePrefix="0" xfId="0">
      <alignment horizontal="left" vertical="center" wrapText="1"/>
    </xf>
    <xf numFmtId="0" fontId="5" fillId="2" borderId="1" applyAlignment="1" pivotButton="0" quotePrefix="0" xfId="0">
      <alignment vertical="bottom"/>
    </xf>
    <xf numFmtId="165" fontId="5" fillId="2" borderId="1" applyAlignment="1" pivotButton="0" quotePrefix="0" xfId="0">
      <alignment vertical="bottom"/>
    </xf>
    <xf numFmtId="0" fontId="5" fillId="2" borderId="0" applyAlignment="1" pivotButton="0" quotePrefix="0" xfId="0">
      <alignment vertical="bottom"/>
    </xf>
    <xf numFmtId="0" fontId="5" fillId="3" borderId="1" pivotButton="0" quotePrefix="0" xfId="0"/>
    <xf numFmtId="0" fontId="5" fillId="3" borderId="1" pivotButton="0" quotePrefix="0" xfId="0"/>
    <xf numFmtId="0" fontId="8" fillId="3" borderId="14" applyAlignment="1" pivotButton="0" quotePrefix="0" xfId="0">
      <alignment vertical="top" wrapText="1"/>
    </xf>
    <xf numFmtId="0" fontId="42" fillId="0" borderId="14" applyAlignment="1" pivotButton="0" quotePrefix="0" xfId="0">
      <alignment vertical="bottom" wrapText="1"/>
    </xf>
    <xf numFmtId="165" fontId="5" fillId="0" borderId="0" applyAlignment="1" pivotButton="0" quotePrefix="0" xfId="0">
      <alignment vertical="bottom"/>
    </xf>
    <xf numFmtId="0" fontId="5" fillId="3" borderId="7" pivotButton="0" quotePrefix="0" xfId="0"/>
    <xf numFmtId="165" fontId="5" fillId="2" borderId="0" applyAlignment="1" pivotButton="0" quotePrefix="0" xfId="0">
      <alignment vertical="bottom"/>
    </xf>
    <xf numFmtId="0" fontId="8" fillId="3" borderId="1" applyAlignment="1" pivotButton="0" quotePrefix="0" xfId="0">
      <alignment vertical="center" wrapText="1"/>
    </xf>
    <xf numFmtId="0" fontId="43" fillId="0" borderId="7" applyAlignment="1" pivotButton="0" quotePrefix="0" xfId="0">
      <alignment horizontal="left" vertical="center" wrapText="1"/>
    </xf>
    <xf numFmtId="0" fontId="3" fillId="0" borderId="14"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7" applyAlignment="1" pivotButton="0" quotePrefix="0" xfId="0">
      <alignment vertical="center" wrapText="1"/>
    </xf>
    <xf numFmtId="0" fontId="9" fillId="3" borderId="7" applyAlignment="1" pivotButton="0" quotePrefix="0" xfId="0">
      <alignment horizontal="left" vertical="center" wrapText="1"/>
    </xf>
    <xf numFmtId="0" fontId="9" fillId="3" borderId="1" applyAlignment="1" pivotButton="0" quotePrefix="0" xfId="0">
      <alignment horizontal="left" vertical="center" wrapText="1"/>
    </xf>
    <xf numFmtId="0" fontId="3" fillId="0" borderId="3" applyAlignment="1" pivotButton="0" quotePrefix="0" xfId="0">
      <alignment horizontal="left" vertical="top" wrapText="1"/>
    </xf>
    <xf numFmtId="0" fontId="3" fillId="0" borderId="0" applyAlignment="1" pivotButton="0" quotePrefix="0" xfId="0">
      <alignment vertical="top" wrapText="1"/>
    </xf>
    <xf numFmtId="0" fontId="7" fillId="3" borderId="14"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center" vertical="top" wrapText="1"/>
    </xf>
    <xf numFmtId="0" fontId="17" fillId="0" borderId="1" applyAlignment="1" pivotButton="0" quotePrefix="0" xfId="0">
      <alignment vertical="center"/>
    </xf>
    <xf numFmtId="0" fontId="3" fillId="0" borderId="7" applyAlignment="1" pivotButton="0" quotePrefix="0" xfId="0">
      <alignment vertical="center"/>
    </xf>
    <xf numFmtId="0" fontId="7" fillId="0" borderId="3" applyAlignment="1" pivotButton="0" quotePrefix="0" xfId="0">
      <alignment horizontal="center" vertical="top" wrapText="1"/>
    </xf>
    <xf numFmtId="0" fontId="7" fillId="6" borderId="7" applyAlignment="1" pivotButton="0" quotePrefix="0" xfId="0">
      <alignment horizontal="center" vertical="top" wrapText="1"/>
    </xf>
    <xf numFmtId="0" fontId="7" fillId="7" borderId="7" applyAlignment="1" pivotButton="0" quotePrefix="0" xfId="0">
      <alignment horizontal="center" vertical="top" wrapText="1"/>
    </xf>
    <xf numFmtId="0" fontId="7" fillId="6" borderId="13" applyAlignment="1" pivotButton="0" quotePrefix="0" xfId="0">
      <alignment horizontal="center" vertical="top" wrapText="1"/>
    </xf>
    <xf numFmtId="0" fontId="7" fillId="7" borderId="13" applyAlignment="1" pivotButton="0" quotePrefix="0" xfId="0">
      <alignment horizontal="center" vertical="top" wrapText="1"/>
    </xf>
    <xf numFmtId="0" fontId="8" fillId="8" borderId="14" applyAlignment="1" pivotButton="0" quotePrefix="0" xfId="0">
      <alignment vertical="top" wrapText="1"/>
    </xf>
    <xf numFmtId="0" fontId="5" fillId="8" borderId="1" applyAlignment="1" pivotButton="0" quotePrefix="0" xfId="0">
      <alignment vertical="top" wrapText="1"/>
    </xf>
    <xf numFmtId="0" fontId="5" fillId="0" borderId="14" applyAlignment="1" pivotButton="0" quotePrefix="0" xfId="0">
      <alignment vertical="top" wrapText="1"/>
    </xf>
    <xf numFmtId="0" fontId="3" fillId="0" borderId="1" applyAlignment="1" pivotButton="0" quotePrefix="0" xfId="0">
      <alignment horizontal="center" vertical="top" wrapText="1"/>
    </xf>
    <xf numFmtId="0" fontId="5" fillId="0" borderId="1" applyAlignment="1" pivotButton="0" quotePrefix="0" xfId="0">
      <alignment vertical="top" wrapText="1"/>
    </xf>
    <xf numFmtId="165" fontId="5" fillId="0" borderId="1" applyAlignment="1" pivotButton="0" quotePrefix="0" xfId="0">
      <alignment vertical="top" wrapText="1"/>
    </xf>
    <xf numFmtId="0" fontId="5" fillId="0" borderId="1" applyAlignment="1" pivotButton="0" quotePrefix="0" xfId="0">
      <alignment vertical="top" wrapText="1"/>
    </xf>
    <xf numFmtId="0" fontId="3" fillId="0" borderId="1" applyAlignment="1" pivotButton="0" quotePrefix="0" xfId="0">
      <alignment horizontal="center" vertical="top" wrapText="1"/>
    </xf>
    <xf numFmtId="0" fontId="5" fillId="0" borderId="1" applyAlignment="1" pivotButton="0" quotePrefix="0" xfId="0">
      <alignment vertical="top" wrapText="1"/>
    </xf>
    <xf numFmtId="0" fontId="3" fillId="0" borderId="7" applyAlignment="1" pivotButton="0" quotePrefix="0" xfId="0">
      <alignment vertical="top" wrapText="1"/>
    </xf>
    <xf numFmtId="0" fontId="3" fillId="3" borderId="1" applyAlignment="1" pivotButton="0" quotePrefix="0" xfId="0">
      <alignment vertical="top" wrapText="1"/>
    </xf>
    <xf numFmtId="0" fontId="3" fillId="3" borderId="7" applyAlignment="1" pivotButton="0" quotePrefix="0" xfId="0">
      <alignment vertical="top" wrapText="1"/>
    </xf>
    <xf numFmtId="0" fontId="5" fillId="3" borderId="1" applyAlignment="1" pivotButton="0" quotePrefix="0" xfId="0">
      <alignment vertical="top" wrapText="1"/>
    </xf>
    <xf numFmtId="0" fontId="5" fillId="3" borderId="14" applyAlignment="1" pivotButton="0" quotePrefix="0" xfId="0">
      <alignment vertical="top" wrapText="1"/>
    </xf>
    <xf numFmtId="0" fontId="9" fillId="0" borderId="14" applyAlignment="1" pivotButton="0" quotePrefix="0" xfId="0">
      <alignment horizontal="left" vertical="center" wrapText="1"/>
    </xf>
    <xf numFmtId="0" fontId="3" fillId="0" borderId="1" applyAlignment="1" pivotButton="0" quotePrefix="0" xfId="0">
      <alignment vertical="center"/>
    </xf>
    <xf numFmtId="0" fontId="3" fillId="3" borderId="11" applyAlignment="1" pivotButton="0" quotePrefix="0" xfId="0">
      <alignment vertical="bottom" wrapText="1"/>
    </xf>
    <xf numFmtId="0" fontId="3" fillId="15" borderId="11" applyAlignment="1" pivotButton="0" quotePrefix="0" xfId="0">
      <alignment horizontal="center" vertical="bottom" wrapText="1"/>
    </xf>
    <xf numFmtId="0" fontId="3" fillId="3" borderId="6" applyAlignment="1" pivotButton="0" quotePrefix="0" xfId="0">
      <alignment vertical="bottom" wrapText="1"/>
    </xf>
    <xf numFmtId="0" fontId="3" fillId="15" borderId="6" applyAlignment="1" pivotButton="0" quotePrefix="0" xfId="0">
      <alignment horizontal="center" vertical="bottom" wrapText="1"/>
    </xf>
    <xf numFmtId="0" fontId="3" fillId="16" borderId="6" applyAlignment="1" pivotButton="0" quotePrefix="0" xfId="0">
      <alignment horizontal="center" vertical="bottom" wrapText="1"/>
    </xf>
    <xf numFmtId="165" fontId="5" fillId="3" borderId="1" applyAlignment="1" pivotButton="0" quotePrefix="0" xfId="0">
      <alignment vertical="top" wrapText="1"/>
    </xf>
    <xf numFmtId="0" fontId="3" fillId="0" borderId="3" applyAlignment="1" pivotButton="0" quotePrefix="0" xfId="0">
      <alignment horizontal="left" vertical="center" wrapText="1"/>
    </xf>
    <xf numFmtId="0" fontId="7" fillId="3" borderId="9" applyAlignment="1" pivotButton="0" quotePrefix="0" xfId="0">
      <alignment horizontal="center" vertical="center" wrapText="1"/>
    </xf>
    <xf numFmtId="0" fontId="3" fillId="0" borderId="0" applyAlignment="1" pivotButton="0" quotePrefix="0" xfId="0">
      <alignment vertical="center" wrapText="1"/>
    </xf>
    <xf numFmtId="0" fontId="9" fillId="3" borderId="6" applyAlignment="1" pivotButton="0" quotePrefix="0" xfId="0">
      <alignment vertical="center" wrapText="1"/>
    </xf>
    <xf numFmtId="0" fontId="9" fillId="3" borderId="0" applyAlignment="1" pivotButton="0" quotePrefix="0" xfId="0">
      <alignment vertical="center" wrapText="1"/>
    </xf>
    <xf numFmtId="0" fontId="9" fillId="3" borderId="1" applyAlignment="1" pivotButton="0" quotePrefix="0" xfId="0">
      <alignment vertical="center" wrapText="1"/>
    </xf>
    <xf numFmtId="0" fontId="9" fillId="3" borderId="6" applyAlignment="1" pivotButton="0" quotePrefix="0" xfId="0">
      <alignment vertical="center" wrapText="1"/>
    </xf>
    <xf numFmtId="0" fontId="37" fillId="0" borderId="1" applyAlignment="1" pivotButton="0" quotePrefix="0" xfId="0">
      <alignment vertical="center" wrapText="1"/>
    </xf>
    <xf numFmtId="0" fontId="9" fillId="3" borderId="0" applyAlignment="1" pivotButton="0" quotePrefix="0" xfId="0">
      <alignment vertical="center" wrapText="1"/>
    </xf>
    <xf numFmtId="0" fontId="3" fillId="0" borderId="0" applyAlignment="1" pivotButton="0" quotePrefix="0" xfId="0">
      <alignment vertical="center" wrapText="1"/>
    </xf>
    <xf numFmtId="0" fontId="8" fillId="3" borderId="14" applyAlignment="1" pivotButton="0" quotePrefix="0" xfId="0">
      <alignment vertical="center" wrapText="1"/>
    </xf>
    <xf numFmtId="0" fontId="8" fillId="3" borderId="14" applyAlignment="1" pivotButton="0" quotePrefix="0" xfId="0">
      <alignment vertical="center" wrapText="1"/>
    </xf>
    <xf numFmtId="0" fontId="3" fillId="3" borderId="1" applyAlignment="1" pivotButton="0" quotePrefix="0" xfId="0">
      <alignment horizontal="center" vertical="top" wrapText="1"/>
    </xf>
    <xf numFmtId="0" fontId="7" fillId="0" borderId="3" applyAlignment="1" pivotButton="0" quotePrefix="0" xfId="0">
      <alignment horizontal="center" vertical="center" wrapText="1"/>
    </xf>
    <xf numFmtId="0" fontId="9" fillId="8" borderId="1" applyAlignment="1" pivotButton="0" quotePrefix="0" xfId="0">
      <alignment vertical="center" wrapText="1"/>
    </xf>
    <xf numFmtId="0" fontId="7" fillId="0" borderId="14" applyAlignment="1" pivotButton="0" quotePrefix="0" xfId="0">
      <alignment horizontal="left" vertical="center" wrapText="1"/>
    </xf>
    <xf numFmtId="0" fontId="9" fillId="0" borderId="3" applyAlignment="1" pivotButton="0" quotePrefix="0" xfId="0">
      <alignment horizontal="center" vertical="center" wrapText="1"/>
    </xf>
    <xf numFmtId="0" fontId="9" fillId="3" borderId="14" applyAlignment="1" pivotButton="0" quotePrefix="0" xfId="0">
      <alignment horizontal="left" vertical="center" wrapText="1"/>
    </xf>
    <xf numFmtId="0" fontId="3" fillId="10" borderId="1" applyAlignment="1" pivotButton="0" quotePrefix="0" xfId="0">
      <alignment vertical="top" wrapText="1"/>
    </xf>
    <xf numFmtId="0" fontId="3" fillId="10" borderId="1" applyAlignment="1" pivotButton="0" quotePrefix="0" xfId="0">
      <alignment vertical="top" wrapText="1"/>
    </xf>
    <xf numFmtId="0" fontId="3" fillId="0" borderId="1" applyAlignment="1" pivotButton="0" quotePrefix="0" xfId="0">
      <alignment vertical="center" wrapText="1"/>
    </xf>
    <xf numFmtId="0" fontId="5" fillId="0" borderId="1" applyAlignment="1" pivotButton="0" quotePrefix="0" xfId="0">
      <alignment vertical="top" wrapText="1"/>
    </xf>
    <xf numFmtId="0" fontId="5" fillId="0" borderId="14" applyAlignment="1" pivotButton="0" quotePrefix="0" xfId="0">
      <alignment vertical="top" wrapText="1"/>
    </xf>
    <xf numFmtId="0" fontId="3" fillId="0" borderId="1" applyAlignment="1" pivotButton="0" quotePrefix="0" xfId="0">
      <alignment vertical="center" wrapText="1"/>
    </xf>
    <xf numFmtId="0" fontId="5" fillId="3" borderId="1" applyAlignment="1" pivotButton="0" quotePrefix="0" xfId="0">
      <alignment vertical="top" wrapText="1"/>
    </xf>
    <xf numFmtId="165" fontId="9" fillId="0" borderId="1" applyAlignment="1" pivotButton="0" quotePrefix="0" xfId="0">
      <alignment horizontal="center" vertical="center" wrapText="1"/>
    </xf>
    <xf numFmtId="0" fontId="5" fillId="3" borderId="14"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center" wrapText="1"/>
    </xf>
    <xf numFmtId="0" fontId="5" fillId="0" borderId="14" applyAlignment="1" pivotButton="0" quotePrefix="0" xfId="0">
      <alignment vertical="top" wrapText="1"/>
    </xf>
    <xf numFmtId="0" fontId="44" fillId="0" borderId="14" applyAlignment="1" pivotButton="0" quotePrefix="0" xfId="0">
      <alignment horizontal="left" vertical="center" wrapText="1"/>
    </xf>
    <xf numFmtId="0" fontId="8" fillId="8" borderId="14" applyAlignment="1" pivotButton="0" quotePrefix="0" xfId="0">
      <alignment vertical="top" wrapText="1"/>
    </xf>
    <xf numFmtId="0" fontId="5" fillId="8" borderId="1" applyAlignment="1" pivotButton="0" quotePrefix="0" xfId="0">
      <alignment vertical="top" wrapText="1"/>
    </xf>
    <xf numFmtId="0" fontId="5" fillId="17" borderId="1" applyAlignment="1" pivotButton="0" quotePrefix="0" xfId="0">
      <alignment vertical="top" wrapText="1"/>
    </xf>
    <xf numFmtId="0" fontId="5" fillId="17" borderId="1" applyAlignment="1" pivotButton="0" quotePrefix="0" xfId="0">
      <alignment vertical="top" wrapText="1"/>
    </xf>
    <xf numFmtId="0" fontId="5" fillId="8" borderId="1" applyAlignment="1" pivotButton="0" quotePrefix="0" xfId="0">
      <alignment vertical="top" wrapText="1"/>
    </xf>
    <xf numFmtId="0" fontId="3" fillId="0" borderId="13" applyAlignment="1" pivotButton="0" quotePrefix="0" xfId="0">
      <alignment vertical="center" wrapText="1"/>
    </xf>
    <xf numFmtId="0" fontId="5" fillId="3" borderId="11" applyAlignment="1" pivotButton="0" quotePrefix="0" xfId="0">
      <alignment vertical="top" wrapText="1"/>
    </xf>
    <xf numFmtId="0" fontId="45" fillId="0" borderId="1" applyAlignment="1" pivotButton="0" quotePrefix="0" xfId="0">
      <alignment vertical="center" wrapText="1"/>
    </xf>
    <xf numFmtId="0" fontId="46" fillId="0" borderId="1" applyAlignment="1" pivotButton="0" quotePrefix="0" xfId="0">
      <alignment vertical="center" wrapText="1"/>
    </xf>
    <xf numFmtId="0" fontId="9" fillId="0" borderId="7" applyAlignment="1" pivotButton="0" quotePrefix="0" xfId="0">
      <alignment horizontal="left" vertical="center" wrapText="1"/>
    </xf>
    <xf numFmtId="0" fontId="3" fillId="0" borderId="7" applyAlignment="1" pivotButton="0" quotePrefix="0" xfId="0">
      <alignment vertical="top" wrapText="1"/>
    </xf>
    <xf numFmtId="0" fontId="3" fillId="0" borderId="1" applyAlignment="1" pivotButton="0" quotePrefix="0" xfId="0">
      <alignment horizontal="center" vertical="top" wrapText="1"/>
    </xf>
    <xf numFmtId="0" fontId="3" fillId="3" borderId="1" applyAlignment="1" pivotButton="0" quotePrefix="0" xfId="0">
      <alignment horizontal="center" vertical="top" wrapText="1"/>
    </xf>
    <xf numFmtId="0" fontId="3" fillId="3" borderId="0" applyAlignment="1" pivotButton="0" quotePrefix="0" xfId="0">
      <alignment vertical="center" wrapText="1"/>
    </xf>
    <xf numFmtId="0" fontId="3" fillId="3" borderId="7" applyAlignment="1" pivotButton="0" quotePrefix="0" xfId="0">
      <alignment vertical="center" wrapText="1"/>
    </xf>
    <xf numFmtId="0" fontId="17" fillId="0" borderId="0" applyAlignment="1" pivotButton="0" quotePrefix="0" xfId="0">
      <alignment vertical="center" wrapText="1"/>
    </xf>
    <xf numFmtId="0" fontId="47" fillId="3" borderId="0" applyAlignment="1" pivotButton="0" quotePrefix="0" xfId="0">
      <alignment horizontal="left"/>
    </xf>
    <xf numFmtId="0" fontId="3" fillId="0" borderId="0" applyAlignment="1" pivotButton="0" quotePrefix="0" xfId="0">
      <alignment vertical="center" wrapText="1"/>
    </xf>
    <xf numFmtId="0" fontId="3" fillId="0" borderId="1" applyAlignment="1" pivotButton="0" quotePrefix="0" xfId="0">
      <alignment vertical="center"/>
    </xf>
    <xf numFmtId="0" fontId="3" fillId="0" borderId="0" applyAlignment="1" pivotButton="0" quotePrefix="0" xfId="0">
      <alignment vertical="center"/>
    </xf>
    <xf numFmtId="0" fontId="48" fillId="0" borderId="0" pivotButton="0" quotePrefix="0" xfId="0"/>
    <xf numFmtId="0" fontId="5" fillId="0" borderId="11" applyAlignment="1" pivotButton="0" quotePrefix="0" xfId="0">
      <alignment vertical="top" wrapText="1"/>
    </xf>
    <xf numFmtId="0" fontId="49" fillId="3" borderId="1" applyAlignment="1" pivotButton="0" quotePrefix="0" xfId="0">
      <alignment vertical="center" wrapText="1"/>
    </xf>
    <xf numFmtId="0" fontId="49" fillId="0" borderId="1" applyAlignment="1" pivotButton="0" quotePrefix="0" xfId="0">
      <alignment vertical="center" wrapText="1"/>
    </xf>
    <xf numFmtId="0" fontId="28" fillId="0" borderId="7" applyAlignment="1" pivotButton="0" quotePrefix="0" xfId="0">
      <alignment horizontal="left" wrapText="1"/>
    </xf>
    <xf numFmtId="0" fontId="3" fillId="0" borderId="14" applyAlignment="1" pivotButton="0" quotePrefix="0" xfId="0">
      <alignment vertical="center" wrapText="1"/>
    </xf>
    <xf numFmtId="0" fontId="3" fillId="3" borderId="14" applyAlignment="1" pivotButton="0" quotePrefix="0" xfId="0">
      <alignment vertical="center" wrapText="1"/>
    </xf>
    <xf numFmtId="0" fontId="3" fillId="10" borderId="1" applyAlignment="1" pivotButton="0" quotePrefix="0" xfId="0">
      <alignment horizontal="center" vertical="center" wrapText="1"/>
    </xf>
    <xf numFmtId="0" fontId="3" fillId="3" borderId="0" applyAlignment="1" pivotButton="0" quotePrefix="0" xfId="0">
      <alignment vertical="center"/>
    </xf>
    <xf numFmtId="0" fontId="48" fillId="3" borderId="0" pivotButton="0" quotePrefix="0" xfId="0"/>
    <xf numFmtId="0" fontId="5" fillId="3" borderId="11" applyAlignment="1" pivotButton="0" quotePrefix="0" xfId="0">
      <alignment vertical="top" wrapText="1"/>
    </xf>
    <xf numFmtId="0" fontId="3" fillId="2" borderId="0" pivotButton="0" quotePrefix="0" xfId="0"/>
    <xf numFmtId="0" fontId="26" fillId="3" borderId="1" applyAlignment="1" pivotButton="0" quotePrefix="0" xfId="0">
      <alignment vertical="center" wrapText="1"/>
    </xf>
    <xf numFmtId="0" fontId="3" fillId="0" borderId="0" pivotButton="0" quotePrefix="0" xfId="0"/>
    <xf numFmtId="0" fontId="28" fillId="0" borderId="0" pivotButton="0" quotePrefix="0" xfId="0"/>
    <xf numFmtId="0" fontId="3" fillId="0" borderId="20" applyAlignment="1" pivotButton="0" quotePrefix="0" xfId="0">
      <alignment vertical="center" wrapText="1"/>
    </xf>
    <xf numFmtId="0" fontId="3" fillId="0" borderId="14" applyAlignment="1" pivotButton="0" quotePrefix="0" xfId="0">
      <alignment vertical="center"/>
    </xf>
    <xf numFmtId="0" fontId="3" fillId="3" borderId="14" applyAlignment="1" pivotButton="0" quotePrefix="0" xfId="0">
      <alignment horizontal="center" vertical="center" wrapText="1"/>
    </xf>
    <xf numFmtId="0" fontId="4" fillId="0" borderId="21" pivotButton="0" quotePrefix="0" xfId="0"/>
    <xf numFmtId="0" fontId="3" fillId="0" borderId="14" applyAlignment="1" pivotButton="0" quotePrefix="0" xfId="0">
      <alignment vertical="center" wrapText="1"/>
    </xf>
    <xf numFmtId="0" fontId="27" fillId="0" borderId="14" applyAlignment="1" pivotButton="0" quotePrefix="0" xfId="0">
      <alignment vertical="center" wrapText="1"/>
    </xf>
    <xf numFmtId="0" fontId="27" fillId="0" borderId="9" applyAlignment="1" pivotButton="0" quotePrefix="0" xfId="0">
      <alignment vertical="center" wrapText="1"/>
    </xf>
    <xf numFmtId="0" fontId="27" fillId="0" borderId="11" applyAlignment="1" pivotButton="0" quotePrefix="0" xfId="0">
      <alignment vertical="center" wrapText="1"/>
    </xf>
    <xf numFmtId="0" fontId="3" fillId="2" borderId="1" applyAlignment="1" pivotButton="0" quotePrefix="0" xfId="0">
      <alignment horizontal="left" vertical="center" wrapText="1"/>
    </xf>
    <xf numFmtId="0" fontId="17" fillId="0" borderId="1" applyAlignment="1" pivotButton="0" quotePrefix="0" xfId="0">
      <alignment vertical="center" wrapText="1"/>
    </xf>
    <xf numFmtId="0" fontId="50" fillId="0" borderId="1" applyAlignment="1" pivotButton="0" quotePrefix="0" xfId="0">
      <alignment vertical="center" wrapText="1"/>
    </xf>
    <xf numFmtId="0" fontId="28" fillId="3" borderId="7" applyAlignment="1" pivotButton="0" quotePrefix="0" xfId="0">
      <alignment horizontal="left" wrapText="1"/>
    </xf>
    <xf numFmtId="0" fontId="28" fillId="3" borderId="1" applyAlignment="1" pivotButton="0" quotePrefix="0" xfId="0">
      <alignment horizontal="left" wrapText="1"/>
    </xf>
    <xf numFmtId="0" fontId="9" fillId="2" borderId="0" applyAlignment="1" pivotButton="0" quotePrefix="0" xfId="0">
      <alignment vertical="center"/>
    </xf>
    <xf numFmtId="0" fontId="9" fillId="0" borderId="0" applyAlignment="1" pivotButton="0" quotePrefix="0" xfId="0">
      <alignment vertical="center"/>
    </xf>
    <xf numFmtId="0" fontId="3" fillId="3" borderId="7" applyAlignment="1" pivotButton="0" quotePrefix="0" xfId="0">
      <alignment horizontal="left" vertical="center" wrapText="1"/>
    </xf>
    <xf numFmtId="0" fontId="9" fillId="3" borderId="1" applyAlignment="1" pivotButton="0" quotePrefix="0" xfId="0">
      <alignment vertical="center" wrapText="1"/>
    </xf>
    <xf numFmtId="0" fontId="9" fillId="2" borderId="1" applyAlignment="1" pivotButton="0" quotePrefix="0" xfId="0">
      <alignment vertical="center"/>
    </xf>
    <xf numFmtId="0" fontId="3" fillId="14" borderId="1" applyAlignment="1" pivotButton="0" quotePrefix="0" xfId="0">
      <alignment horizontal="center" wrapText="1"/>
    </xf>
    <xf numFmtId="0" fontId="5" fillId="0" borderId="1" pivotButton="0" quotePrefix="0" xfId="0"/>
    <xf numFmtId="0" fontId="9" fillId="0" borderId="1" applyAlignment="1" pivotButton="0" quotePrefix="0" xfId="0">
      <alignment vertical="center"/>
    </xf>
    <xf numFmtId="0" fontId="28" fillId="3" borderId="1" applyAlignment="1" pivotButton="0" quotePrefix="0" xfId="0">
      <alignment wrapText="1"/>
    </xf>
    <xf numFmtId="0" fontId="27" fillId="0" borderId="14" applyAlignment="1" pivotButton="0" quotePrefix="0" xfId="0">
      <alignment horizontal="left" vertical="center" wrapText="1"/>
    </xf>
    <xf numFmtId="0" fontId="9" fillId="3" borderId="0" applyAlignment="1" pivotButton="0" quotePrefix="0" xfId="0">
      <alignment vertical="center"/>
    </xf>
    <xf numFmtId="0" fontId="3" fillId="3" borderId="7" applyAlignment="1" pivotButton="0" quotePrefix="0" xfId="0">
      <alignment vertical="top" wrapText="1"/>
    </xf>
    <xf numFmtId="0" fontId="3" fillId="0" borderId="0" applyAlignment="1" pivotButton="0" quotePrefix="0" xfId="0">
      <alignment vertical="center"/>
    </xf>
    <xf numFmtId="0" fontId="8" fillId="8" borderId="14" applyAlignment="1" pivotButton="0" quotePrefix="0" xfId="0">
      <alignment vertical="top" wrapText="1"/>
    </xf>
    <xf numFmtId="0" fontId="27" fillId="0" borderId="14" applyAlignment="1" pivotButton="0" quotePrefix="0" xfId="0">
      <alignment horizontal="left" vertical="center" wrapText="1"/>
    </xf>
    <xf numFmtId="0" fontId="3" fillId="2" borderId="7" applyAlignment="1" pivotButton="0" quotePrefix="0" xfId="0">
      <alignment vertical="center" wrapText="1"/>
    </xf>
    <xf numFmtId="0" fontId="3" fillId="2" borderId="1" applyAlignment="1" pivotButton="0" quotePrefix="0" xfId="0">
      <alignment vertical="center" wrapText="1"/>
    </xf>
    <xf numFmtId="0" fontId="9" fillId="0" borderId="0" applyAlignment="1" pivotButton="0" quotePrefix="0" xfId="0">
      <alignment vertical="center" wrapText="1"/>
    </xf>
    <xf numFmtId="0" fontId="27" fillId="0" borderId="14" applyAlignment="1" pivotButton="0" quotePrefix="0" xfId="0">
      <alignment vertical="center" wrapText="1"/>
    </xf>
    <xf numFmtId="0" fontId="3" fillId="0" borderId="9" applyAlignment="1" pivotButton="0" quotePrefix="0" xfId="0">
      <alignment horizontal="left" vertical="center" wrapText="1"/>
    </xf>
    <xf numFmtId="0" fontId="19" fillId="0" borderId="7" applyAlignment="1" pivotButton="0" quotePrefix="0" xfId="0">
      <alignment vertical="center" wrapText="1"/>
    </xf>
    <xf numFmtId="0" fontId="7" fillId="0" borderId="1" applyAlignment="1" pivotButton="0" quotePrefix="0" xfId="0">
      <alignment horizontal="left" vertical="center" wrapText="1"/>
    </xf>
    <xf numFmtId="0" fontId="3" fillId="0" borderId="11" applyAlignment="1" pivotButton="0" quotePrefix="0" xfId="0">
      <alignment vertical="center" wrapText="1"/>
    </xf>
    <xf numFmtId="0" fontId="9" fillId="0" borderId="6" applyAlignment="1" pivotButton="0" quotePrefix="0" xfId="0">
      <alignment vertical="center" wrapText="1"/>
    </xf>
    <xf numFmtId="0" fontId="9" fillId="0" borderId="6" applyAlignment="1" pivotButton="0" quotePrefix="0" xfId="0">
      <alignment vertical="center" wrapText="1"/>
    </xf>
    <xf numFmtId="0" fontId="3" fillId="0" borderId="6" applyAlignment="1" pivotButton="0" quotePrefix="0" xfId="0">
      <alignment vertical="center" wrapText="1"/>
    </xf>
    <xf numFmtId="0" fontId="3" fillId="3" borderId="6" applyAlignment="1" pivotButton="0" quotePrefix="0" xfId="0">
      <alignment vertical="center" wrapText="1"/>
    </xf>
    <xf numFmtId="0" fontId="3" fillId="0" borderId="6" applyAlignment="1" pivotButton="0" quotePrefix="0" xfId="0">
      <alignment vertical="center" wrapText="1"/>
    </xf>
    <xf numFmtId="0" fontId="8" fillId="0" borderId="9" applyAlignment="1" pivotButton="0" quotePrefix="0" xfId="0">
      <alignment horizontal="left" vertical="center" wrapText="1"/>
    </xf>
    <xf numFmtId="0" fontId="8" fillId="0" borderId="11" applyAlignment="1" pivotButton="0" quotePrefix="0" xfId="0">
      <alignment horizontal="left" vertical="center" wrapText="1"/>
    </xf>
    <xf numFmtId="0" fontId="9" fillId="0" borderId="18" applyAlignment="1" pivotButton="0" quotePrefix="0" xfId="0">
      <alignment horizontal="left" vertical="center" wrapText="1"/>
    </xf>
    <xf numFmtId="0" fontId="3" fillId="0" borderId="13" applyAlignment="1" pivotButton="0" quotePrefix="0" xfId="0">
      <alignment horizontal="left" vertical="center" wrapText="1"/>
    </xf>
    <xf numFmtId="0" fontId="3" fillId="0" borderId="13" applyAlignment="1" pivotButton="0" quotePrefix="0" xfId="0">
      <alignment vertical="center" wrapText="1"/>
    </xf>
    <xf numFmtId="0" fontId="3" fillId="0" borderId="1" applyAlignment="1" pivotButton="0" quotePrefix="0" xfId="0">
      <alignment vertical="center" wrapText="1"/>
    </xf>
    <xf numFmtId="0" fontId="3" fillId="0" borderId="15" applyAlignment="1" pivotButton="0" quotePrefix="0" xfId="0">
      <alignment vertical="center" wrapText="1"/>
    </xf>
    <xf numFmtId="0" fontId="8" fillId="0" borderId="14" applyAlignment="1" pivotButton="0" quotePrefix="0" xfId="0">
      <alignment vertical="top" wrapText="1"/>
    </xf>
    <xf numFmtId="0" fontId="3" fillId="2" borderId="1" applyAlignment="1" pivotButton="0" quotePrefix="0" xfId="0">
      <alignment wrapText="1"/>
    </xf>
    <xf numFmtId="0" fontId="3" fillId="0" borderId="7" applyAlignment="1" pivotButton="0" quotePrefix="0" xfId="0">
      <alignment horizontal="left" vertical="top" wrapText="1"/>
    </xf>
    <xf numFmtId="0" fontId="3" fillId="0" borderId="1" applyAlignment="1" pivotButton="0" quotePrefix="0" xfId="0">
      <alignment horizontal="left" vertical="top" wrapText="1"/>
    </xf>
    <xf numFmtId="0" fontId="3" fillId="0" borderId="1" applyAlignment="1" pivotButton="0" quotePrefix="0" xfId="0">
      <alignment horizontal="left" vertical="top" wrapText="1"/>
    </xf>
    <xf numFmtId="0" fontId="5" fillId="0" borderId="1" applyAlignment="1" pivotButton="0" quotePrefix="0" xfId="0">
      <alignment horizontal="left" vertical="top" wrapText="1"/>
    </xf>
    <xf numFmtId="0" fontId="3" fillId="0" borderId="13" applyAlignment="1" pivotButton="0" quotePrefix="0" xfId="0">
      <alignment wrapText="1"/>
    </xf>
    <xf numFmtId="0" fontId="5" fillId="8" borderId="14" applyAlignment="1" pivotButton="0" quotePrefix="0" xfId="0">
      <alignment vertical="top" wrapText="1"/>
    </xf>
    <xf numFmtId="0" fontId="3" fillId="0" borderId="15" applyAlignment="1" pivotButton="0" quotePrefix="0" xfId="0">
      <alignment vertical="center" wrapText="1"/>
    </xf>
    <xf numFmtId="0" fontId="3" fillId="0" borderId="1" applyAlignment="1" pivotButton="0" quotePrefix="0" xfId="0">
      <alignment horizontal="center" vertical="top" wrapText="1"/>
    </xf>
    <xf numFmtId="0" fontId="28" fillId="0" borderId="0" applyAlignment="1" pivotButton="0" quotePrefix="0" xfId="0">
      <alignment vertical="center" wrapText="1"/>
    </xf>
    <xf numFmtId="0" fontId="3" fillId="12" borderId="1" applyAlignment="1" pivotButton="0" quotePrefix="0" xfId="0">
      <alignment horizontal="center" vertical="center" wrapText="1"/>
    </xf>
    <xf numFmtId="0" fontId="51" fillId="0" borderId="14" applyAlignment="1" pivotButton="0" quotePrefix="0" xfId="0">
      <alignment horizontal="left" vertical="center" wrapText="1"/>
    </xf>
    <xf numFmtId="0" fontId="25" fillId="0" borderId="1" applyAlignment="1" pivotButton="0" quotePrefix="0" xfId="0">
      <alignment horizontal="left" vertical="center" wrapText="1"/>
    </xf>
    <xf numFmtId="0" fontId="27" fillId="0" borderId="0" applyAlignment="1" pivotButton="0" quotePrefix="0" xfId="0">
      <alignment vertical="center" wrapText="1"/>
    </xf>
    <xf numFmtId="0" fontId="5" fillId="0" borderId="0" pivotButton="0" quotePrefix="0" xfId="0"/>
    <xf numFmtId="165" fontId="9" fillId="0" borderId="1" applyAlignment="1" pivotButton="0" quotePrefix="0" xfId="0">
      <alignment horizontal="center" vertical="top" wrapText="1"/>
    </xf>
    <xf numFmtId="0" fontId="9" fillId="0" borderId="1" applyAlignment="1" pivotButton="0" quotePrefix="0" xfId="0">
      <alignment horizontal="center" vertical="top" wrapText="1"/>
    </xf>
    <xf numFmtId="0" fontId="3" fillId="0" borderId="0" applyAlignment="1" pivotButton="0" quotePrefix="0" xfId="0">
      <alignment vertical="center"/>
    </xf>
    <xf numFmtId="0" fontId="27" fillId="0" borderId="14" applyAlignment="1" pivotButton="0" quotePrefix="0" xfId="0">
      <alignment vertical="top" wrapText="1"/>
    </xf>
    <xf numFmtId="0" fontId="52" fillId="3" borderId="3" pivotButton="0" quotePrefix="0" xfId="0"/>
    <xf numFmtId="0" fontId="5" fillId="0" borderId="1" applyAlignment="1" pivotButton="0" quotePrefix="0" xfId="0">
      <alignment vertical="center"/>
    </xf>
    <xf numFmtId="0" fontId="3" fillId="14" borderId="1" applyAlignment="1" pivotButton="0" quotePrefix="0" xfId="0">
      <alignment horizontal="center" vertical="center" wrapText="1"/>
    </xf>
    <xf numFmtId="0" fontId="52" fillId="3" borderId="0" pivotButton="0" quotePrefix="0" xfId="0"/>
    <xf numFmtId="0" fontId="49" fillId="0" borderId="1" applyAlignment="1" pivotButton="0" quotePrefix="0" xfId="0">
      <alignment vertical="center"/>
    </xf>
    <xf numFmtId="0" fontId="49" fillId="3" borderId="1" applyAlignment="1" pivotButton="0" quotePrefix="0" xfId="0">
      <alignment horizontal="center" vertical="center" wrapText="1"/>
    </xf>
    <xf numFmtId="0" fontId="49" fillId="0" borderId="1" applyAlignment="1" pivotButton="0" quotePrefix="0" xfId="0">
      <alignment vertical="center" wrapText="1"/>
    </xf>
    <xf numFmtId="0" fontId="49" fillId="0" borderId="0" applyAlignment="1" pivotButton="0" quotePrefix="0" xfId="0">
      <alignment vertical="center"/>
    </xf>
    <xf numFmtId="0" fontId="53" fillId="0" borderId="0" pivotButton="0" quotePrefix="0" xfId="0"/>
    <xf numFmtId="0" fontId="3" fillId="0" borderId="0" applyAlignment="1" pivotButton="0" quotePrefix="0" xfId="0">
      <alignment vertical="center" wrapText="1"/>
    </xf>
    <xf numFmtId="165"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0" borderId="1" applyAlignment="1" pivotButton="0" quotePrefix="0" xfId="0">
      <alignment vertical="center" wrapText="1"/>
    </xf>
    <xf numFmtId="165" fontId="3" fillId="0" borderId="1" applyAlignment="1" pivotButton="0" quotePrefix="0" xfId="0">
      <alignment vertical="center"/>
    </xf>
    <xf numFmtId="0" fontId="3" fillId="14" borderId="1" applyAlignment="1" pivotButton="0" quotePrefix="0" xfId="0">
      <alignment horizontal="center" vertical="center" wrapText="1"/>
    </xf>
    <xf numFmtId="0" fontId="3" fillId="0" borderId="13" applyAlignment="1" pivotButton="0" quotePrefix="0" xfId="0">
      <alignment vertical="center" wrapText="1"/>
    </xf>
    <xf numFmtId="0" fontId="54" fillId="3" borderId="14" applyAlignment="1" pivotButton="0" quotePrefix="0" xfId="0">
      <alignment vertical="center" wrapText="1"/>
    </xf>
    <xf numFmtId="0" fontId="5" fillId="0" borderId="14" applyAlignment="1" pivotButton="0" quotePrefix="0" xfId="0">
      <alignment vertical="center" wrapText="1"/>
    </xf>
    <xf numFmtId="0" fontId="3" fillId="0" borderId="1" applyAlignment="1" pivotButton="0" quotePrefix="0" xfId="0">
      <alignment horizontal="center" vertical="center" wrapText="1"/>
    </xf>
    <xf numFmtId="0" fontId="5" fillId="0" borderId="1" applyAlignment="1" pivotButton="0" quotePrefix="0" xfId="0">
      <alignment vertical="center" wrapText="1"/>
    </xf>
    <xf numFmtId="0" fontId="5" fillId="0" borderId="1" applyAlignment="1" pivotButton="0" quotePrefix="0" xfId="0">
      <alignment vertical="center" wrapText="1"/>
    </xf>
    <xf numFmtId="0" fontId="5" fillId="0" borderId="1" applyAlignment="1" pivotButton="0" quotePrefix="0" xfId="0">
      <alignment vertical="center" wrapText="1"/>
    </xf>
    <xf numFmtId="0" fontId="5" fillId="0" borderId="1" applyAlignment="1" pivotButton="0" quotePrefix="0" xfId="0">
      <alignment vertical="center"/>
    </xf>
    <xf numFmtId="0" fontId="28" fillId="0" borderId="1" applyAlignment="1" pivotButton="0" quotePrefix="0" xfId="0">
      <alignment vertical="center"/>
    </xf>
    <xf numFmtId="0" fontId="3" fillId="0" borderId="18" applyAlignment="1" pivotButton="0" quotePrefix="0" xfId="0">
      <alignment vertical="center" wrapText="1"/>
    </xf>
    <xf numFmtId="0" fontId="28" fillId="0" borderId="1" applyAlignment="1" pivotButton="0" quotePrefix="0" xfId="0">
      <alignment vertical="center" wrapText="1"/>
    </xf>
    <xf numFmtId="0" fontId="3" fillId="0" borderId="1" applyAlignment="1" pivotButton="0" quotePrefix="0" xfId="0">
      <alignment horizontal="left" vertical="center"/>
    </xf>
    <xf numFmtId="0" fontId="27" fillId="0" borderId="1" applyAlignment="1" pivotButton="0" quotePrefix="0" xfId="0">
      <alignment horizontal="left" vertical="center" wrapText="1"/>
    </xf>
    <xf numFmtId="0" fontId="8" fillId="18" borderId="14" applyAlignment="1" pivotButton="0" quotePrefix="0" xfId="0">
      <alignment vertical="center" wrapText="1"/>
    </xf>
    <xf numFmtId="0" fontId="3" fillId="18" borderId="1" applyAlignment="1" pivotButton="0" quotePrefix="0" xfId="0">
      <alignment vertical="center"/>
    </xf>
    <xf numFmtId="0" fontId="3" fillId="18" borderId="1" applyAlignment="1" pivotButton="0" quotePrefix="0" xfId="0">
      <alignment vertical="center" wrapText="1"/>
    </xf>
    <xf numFmtId="0" fontId="3" fillId="0" borderId="7" applyAlignment="1" pivotButton="0" quotePrefix="0" xfId="0">
      <alignment vertical="center"/>
    </xf>
    <xf numFmtId="0" fontId="55" fillId="0" borderId="1" applyAlignment="1" pivotButton="0" quotePrefix="0" xfId="0">
      <alignment vertical="center"/>
    </xf>
    <xf numFmtId="0" fontId="56" fillId="0" borderId="1" applyAlignment="1" pivotButton="0" quotePrefix="0" xfId="0">
      <alignment vertical="center" wrapText="1"/>
    </xf>
    <xf numFmtId="0" fontId="57" fillId="0" borderId="1" applyAlignment="1" pivotButton="0" quotePrefix="0" xfId="0">
      <alignment vertical="center" wrapText="1"/>
    </xf>
    <xf numFmtId="0" fontId="8" fillId="18" borderId="14" applyAlignment="1" pivotButton="0" quotePrefix="0" xfId="0">
      <alignment wrapText="1"/>
    </xf>
    <xf numFmtId="0" fontId="5" fillId="18" borderId="1" pivotButton="0" quotePrefix="0" xfId="0"/>
    <xf numFmtId="0" fontId="3" fillId="0" borderId="1" applyAlignment="1" pivotButton="0" quotePrefix="0" xfId="0">
      <alignment horizontal="center" vertical="bottom"/>
    </xf>
    <xf numFmtId="0" fontId="5" fillId="0" borderId="1" applyAlignment="1" pivotButton="0" quotePrefix="0" xfId="0">
      <alignment vertical="bottom"/>
    </xf>
    <xf numFmtId="0" fontId="58" fillId="0" borderId="1" applyAlignment="1" pivotButton="0" quotePrefix="0" xfId="0">
      <alignment horizontal="left" vertical="center" wrapText="1"/>
    </xf>
    <xf numFmtId="0" fontId="3" fillId="14" borderId="1" applyAlignment="1" pivotButton="0" quotePrefix="0" xfId="0">
      <alignment horizontal="center" wrapText="1"/>
    </xf>
    <xf numFmtId="0" fontId="17" fillId="0" borderId="0" applyAlignment="1" pivotButton="0" quotePrefix="0" xfId="0">
      <alignment wrapText="1"/>
    </xf>
    <xf numFmtId="0" fontId="8" fillId="0" borderId="14" applyAlignment="1" pivotButton="0" quotePrefix="0" xfId="0">
      <alignment vertical="bottom" wrapText="1"/>
    </xf>
    <xf numFmtId="0" fontId="3" fillId="3" borderId="7" applyAlignment="1" pivotButton="0" quotePrefix="0" xfId="0">
      <alignment vertical="bottom" wrapText="1"/>
    </xf>
    <xf numFmtId="0" fontId="17" fillId="0" borderId="0" applyAlignment="1" pivotButton="0" quotePrefix="0" xfId="0">
      <alignment wrapText="1"/>
    </xf>
    <xf numFmtId="0" fontId="3" fillId="0" borderId="6" applyAlignment="1" pivotButton="0" quotePrefix="0" xfId="0">
      <alignment wrapText="1"/>
    </xf>
    <xf numFmtId="0" fontId="4" fillId="0" borderId="18" pivotButton="0" quotePrefix="0" xfId="0"/>
    <xf numFmtId="0" fontId="9" fillId="0" borderId="13" applyAlignment="1" pivotButton="0" quotePrefix="0" xfId="0">
      <alignment horizontal="left" vertical="center" wrapText="1"/>
    </xf>
    <xf numFmtId="0" fontId="59" fillId="0" borderId="7" applyAlignment="1" pivotButton="0" quotePrefix="0" xfId="0">
      <alignment vertical="center" wrapText="1"/>
    </xf>
    <xf numFmtId="0" fontId="17" fillId="0" borderId="1" applyAlignment="1" pivotButton="0" quotePrefix="0" xfId="0">
      <alignment wrapText="1"/>
    </xf>
    <xf numFmtId="0" fontId="60" fillId="0" borderId="7" applyAlignment="1" pivotButton="0" quotePrefix="0" xfId="0">
      <alignment wrapText="1"/>
    </xf>
    <xf numFmtId="0" fontId="3" fillId="3" borderId="7" applyAlignment="1" pivotButton="0" quotePrefix="0" xfId="0">
      <alignment vertical="bottom" wrapText="1"/>
    </xf>
    <xf numFmtId="0" fontId="17" fillId="0" borderId="1" applyAlignment="1" pivotButton="0" quotePrefix="0" xfId="0">
      <alignment vertical="top" wrapText="1"/>
    </xf>
    <xf numFmtId="0" fontId="17" fillId="0" borderId="0" applyAlignment="1" pivotButton="0" quotePrefix="0" xfId="0">
      <alignment vertical="top" wrapText="1"/>
    </xf>
    <xf numFmtId="0" fontId="27" fillId="0" borderId="14" applyAlignment="1" pivotButton="0" quotePrefix="0" xfId="0">
      <alignment wrapText="1"/>
    </xf>
    <xf numFmtId="0" fontId="44" fillId="0" borderId="14" applyAlignment="1" pivotButton="0" quotePrefix="0" xfId="0">
      <alignment vertical="center" wrapText="1"/>
    </xf>
    <xf numFmtId="0" fontId="8" fillId="18" borderId="1" applyAlignment="1" pivotButton="0" quotePrefix="0" xfId="0">
      <alignment vertical="center" wrapText="1"/>
    </xf>
    <xf numFmtId="0" fontId="3" fillId="18" borderId="1" applyAlignment="1" pivotButton="0" quotePrefix="0" xfId="0">
      <alignment vertical="center" wrapText="1"/>
    </xf>
    <xf numFmtId="0" fontId="49" fillId="3" borderId="1" applyAlignment="1" pivotButton="0" quotePrefix="0" xfId="0">
      <alignment vertical="center" wrapText="1"/>
    </xf>
    <xf numFmtId="0" fontId="9" fillId="9" borderId="14" applyAlignment="1" pivotButton="0" quotePrefix="0" xfId="0">
      <alignment horizontal="left" vertical="center" wrapText="1"/>
    </xf>
    <xf numFmtId="0" fontId="61" fillId="9" borderId="1" applyAlignment="1" pivotButton="0" quotePrefix="0" xfId="0">
      <alignment horizontal="left" vertical="center" wrapText="1"/>
    </xf>
    <xf numFmtId="0" fontId="61" fillId="9" borderId="14" applyAlignment="1" pivotButton="0" quotePrefix="0" xfId="0">
      <alignment horizontal="left" vertical="center" wrapText="1"/>
    </xf>
    <xf numFmtId="0" fontId="49" fillId="0" borderId="0" applyAlignment="1" pivotButton="0" quotePrefix="0" xfId="0">
      <alignment vertical="center" wrapText="1"/>
    </xf>
    <xf numFmtId="0" fontId="25" fillId="3" borderId="14" applyAlignment="1" pivotButton="0" quotePrefix="0" xfId="0">
      <alignment horizontal="left" vertical="center" wrapText="1"/>
    </xf>
    <xf numFmtId="0" fontId="7" fillId="9" borderId="1" applyAlignment="1" pivotButton="0" quotePrefix="0" xfId="0">
      <alignment horizontal="left" vertical="center" wrapText="1"/>
    </xf>
    <xf numFmtId="0" fontId="25" fillId="3" borderId="14" applyAlignment="1" pivotButton="0" quotePrefix="0" xfId="0">
      <alignment horizontal="left" vertical="center" wrapText="1"/>
    </xf>
    <xf numFmtId="0" fontId="62" fillId="0" borderId="7" applyAlignment="1" pivotButton="0" quotePrefix="0" xfId="0">
      <alignment wrapText="1"/>
    </xf>
    <xf numFmtId="0" fontId="9" fillId="0" borderId="18" applyAlignment="1" pivotButton="0" quotePrefix="0" xfId="0">
      <alignment wrapText="1"/>
    </xf>
    <xf numFmtId="0" fontId="63" fillId="0" borderId="7" applyAlignment="1" pivotButton="0" quotePrefix="0" xfId="0">
      <alignment wrapText="1"/>
    </xf>
    <xf numFmtId="0" fontId="64" fillId="0" borderId="1" applyAlignment="1" pivotButton="0" quotePrefix="0" xfId="0">
      <alignment wrapText="1"/>
    </xf>
    <xf numFmtId="0" fontId="7" fillId="6" borderId="7" applyAlignment="1" pivotButton="0" quotePrefix="0" xfId="0">
      <alignment horizontal="center" vertical="center" wrapText="1"/>
    </xf>
    <xf numFmtId="0" fontId="3" fillId="19" borderId="0" applyAlignment="1" pivotButton="0" quotePrefix="0" xfId="0">
      <alignment wrapText="1"/>
    </xf>
    <xf numFmtId="0" fontId="3" fillId="3" borderId="7" applyAlignment="1" pivotButton="0" quotePrefix="0" xfId="0">
      <alignment vertical="top" wrapText="1"/>
    </xf>
    <xf numFmtId="0" fontId="3" fillId="3" borderId="11" applyAlignment="1" pivotButton="0" quotePrefix="0" xfId="0">
      <alignment vertical="top" wrapText="1"/>
    </xf>
    <xf numFmtId="0" fontId="3" fillId="3" borderId="15"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3" borderId="6" applyAlignment="1" pivotButton="0" quotePrefix="0" xfId="0">
      <alignment vertical="top" wrapText="1"/>
    </xf>
    <xf numFmtId="0" fontId="3" fillId="2" borderId="0" applyAlignment="1" pivotButton="0" quotePrefix="0" xfId="0">
      <alignment wrapText="1"/>
    </xf>
    <xf numFmtId="0" fontId="3" fillId="0" borderId="0" applyAlignment="1" pivotButton="0" quotePrefix="0" xfId="0">
      <alignment vertical="bottom" wrapText="1"/>
    </xf>
    <xf numFmtId="166" fontId="3" fillId="0" borderId="1" applyAlignment="1" pivotButton="0" quotePrefix="0" xfId="0">
      <alignment wrapText="1"/>
    </xf>
    <xf numFmtId="0" fontId="3" fillId="2" borderId="1" applyAlignment="1" pivotButton="0" quotePrefix="0" xfId="0">
      <alignment horizontal="center" vertical="center" wrapText="1"/>
    </xf>
    <xf numFmtId="0" fontId="3" fillId="0" borderId="1" applyAlignment="1" pivotButton="0" quotePrefix="0" xfId="0">
      <alignment horizontal="right" vertical="bottom" wrapText="1"/>
    </xf>
    <xf numFmtId="0" fontId="3" fillId="0" borderId="1" applyAlignment="1" pivotButton="0" quotePrefix="1" xfId="0">
      <alignment wrapText="1"/>
    </xf>
    <xf numFmtId="0" fontId="27" fillId="0" borderId="1" applyAlignment="1" pivotButton="0" quotePrefix="0" xfId="0">
      <alignment wrapText="1"/>
    </xf>
    <xf numFmtId="0" fontId="27" fillId="0" borderId="9" applyAlignment="1" pivotButton="0" quotePrefix="0" xfId="0">
      <alignment wrapText="1"/>
    </xf>
    <xf numFmtId="167" fontId="3" fillId="0" borderId="1" applyAlignment="1" pivotButton="0" quotePrefix="0" xfId="0">
      <alignment wrapText="1"/>
    </xf>
    <xf numFmtId="0" fontId="65" fillId="0" borderId="1" applyAlignment="1" pivotButton="0" quotePrefix="0" xfId="0">
      <alignment vertical="center" wrapText="1"/>
    </xf>
    <xf numFmtId="0" fontId="7" fillId="20" borderId="14" applyAlignment="1" pivotButton="0" quotePrefix="0" xfId="0">
      <alignment horizontal="left" vertical="center" wrapText="1"/>
    </xf>
    <xf numFmtId="0" fontId="9" fillId="20" borderId="1" applyAlignment="1" pivotButton="0" quotePrefix="0" xfId="0">
      <alignment vertical="center" wrapText="1"/>
    </xf>
    <xf numFmtId="0" fontId="66" fillId="0" borderId="1" applyAlignment="1" pivotButton="0" quotePrefix="0" xfId="0">
      <alignment vertical="center" wrapText="1"/>
    </xf>
    <xf numFmtId="0" fontId="58" fillId="0" borderId="7" applyAlignment="1" pivotButton="0" quotePrefix="0" xfId="0">
      <alignment vertical="center" wrapText="1"/>
    </xf>
    <xf numFmtId="0" fontId="67" fillId="0" borderId="7" applyAlignment="1" pivotButton="0" quotePrefix="0" xfId="0">
      <alignment vertical="center" wrapText="1"/>
    </xf>
    <xf numFmtId="0" fontId="68" fillId="0" borderId="7" applyAlignment="1" pivotButton="0" quotePrefix="0" xfId="0">
      <alignment vertical="center" wrapText="1"/>
    </xf>
    <xf numFmtId="0" fontId="3" fillId="2" borderId="1" applyAlignment="1" pivotButton="0" quotePrefix="0" xfId="0">
      <alignment vertical="top" wrapText="1"/>
    </xf>
    <xf numFmtId="0" fontId="69" fillId="0" borderId="7" applyAlignment="1" pivotButton="0" quotePrefix="0" xfId="0">
      <alignment vertical="center" wrapText="1"/>
    </xf>
    <xf numFmtId="0" fontId="28" fillId="0" borderId="18" applyAlignment="1" pivotButton="0" quotePrefix="0" xfId="0">
      <alignment wrapText="1"/>
    </xf>
    <xf numFmtId="0" fontId="70" fillId="0" borderId="1" applyAlignment="1" pivotButton="0" quotePrefix="0" xfId="0">
      <alignment vertical="center" wrapText="1"/>
    </xf>
    <xf numFmtId="0" fontId="44" fillId="0" borderId="14" applyAlignment="1" pivotButton="0" quotePrefix="0" xfId="0">
      <alignment wrapText="1"/>
    </xf>
    <xf numFmtId="0" fontId="3" fillId="0" borderId="14" applyAlignment="1" pivotButton="0" quotePrefix="0" xfId="0">
      <alignment wrapText="1"/>
    </xf>
    <xf numFmtId="0" fontId="71" fillId="3" borderId="0" applyAlignment="1" pivotButton="0" quotePrefix="0" xfId="0">
      <alignment horizontal="left"/>
    </xf>
    <xf numFmtId="0" fontId="58" fillId="0" borderId="1" applyAlignment="1" pivotButton="0" quotePrefix="0" xfId="0">
      <alignment vertical="center" wrapText="1"/>
    </xf>
    <xf numFmtId="0" fontId="58" fillId="0" borderId="1" applyAlignment="1" pivotButton="0" quotePrefix="0" xfId="0">
      <alignment vertical="center" wrapText="1"/>
    </xf>
    <xf numFmtId="0" fontId="58" fillId="0" borderId="7" applyAlignment="1" pivotButton="0" quotePrefix="0" xfId="0">
      <alignment vertical="center" wrapText="1"/>
    </xf>
    <xf numFmtId="0" fontId="8" fillId="8" borderId="14" applyAlignment="1" pivotButton="0" quotePrefix="0" xfId="0">
      <alignment horizontal="left" vertical="center" wrapText="1"/>
    </xf>
    <xf numFmtId="0" fontId="3" fillId="0" borderId="1" applyAlignment="1" pivotButton="0" quotePrefix="0" xfId="0">
      <alignment horizontal="left" vertical="bottom" wrapText="1"/>
    </xf>
    <xf numFmtId="0" fontId="72" fillId="20" borderId="1" applyAlignment="1" pivotButton="0" quotePrefix="0" xfId="0">
      <alignment horizontal="center" vertical="center" wrapText="1"/>
    </xf>
    <xf numFmtId="0" fontId="73" fillId="0" borderId="7" applyAlignment="1" pivotButton="0" quotePrefix="0" xfId="0">
      <alignment vertical="center" wrapText="1"/>
    </xf>
    <xf numFmtId="0" fontId="74" fillId="21" borderId="1" applyAlignment="1" pivotButton="0" quotePrefix="0" xfId="0">
      <alignment horizontal="center" vertical="center" wrapText="1"/>
    </xf>
    <xf numFmtId="0" fontId="74" fillId="21" borderId="1" applyAlignment="1" pivotButton="0" quotePrefix="0" xfId="0">
      <alignment horizontal="center" vertical="top" wrapText="1"/>
    </xf>
    <xf numFmtId="0" fontId="75" fillId="22" borderId="1" applyAlignment="1" pivotButton="0" quotePrefix="0" xfId="0">
      <alignment horizontal="center" vertical="top" wrapText="1"/>
    </xf>
    <xf numFmtId="0" fontId="27" fillId="0" borderId="9" applyAlignment="1" pivotButton="0" quotePrefix="0" xfId="0">
      <alignment horizontal="left" vertical="center" wrapText="1"/>
    </xf>
    <xf numFmtId="0" fontId="27" fillId="0" borderId="11" applyAlignment="1" pivotButton="0" quotePrefix="0" xfId="0">
      <alignment horizontal="left" vertical="center" wrapText="1"/>
    </xf>
    <xf numFmtId="0" fontId="76" fillId="3" borderId="0" applyAlignment="1" pivotButton="0" quotePrefix="0" xfId="0">
      <alignment horizontal="left"/>
    </xf>
    <xf numFmtId="0" fontId="75" fillId="22" borderId="1" applyAlignment="1" pivotButton="0" quotePrefix="0" xfId="0">
      <alignment horizontal="center" vertical="center" wrapText="1"/>
    </xf>
    <xf numFmtId="0" fontId="0" fillId="0" borderId="0" pivotButton="0" quotePrefix="0" xfId="0"/>
    <xf numFmtId="0" fontId="3" fillId="0" borderId="6" applyAlignment="1" pivotButton="0" quotePrefix="0" xfId="0">
      <alignment horizontal="left" vertical="top" wrapText="1"/>
    </xf>
    <xf numFmtId="0" fontId="0" fillId="0" borderId="6" pivotButton="0" quotePrefix="0" xfId="0"/>
    <xf numFmtId="0" fontId="7" fillId="3" borderId="11" applyAlignment="1" pivotButton="0" quotePrefix="0" xfId="0">
      <alignment horizontal="center" vertical="top" wrapText="1"/>
    </xf>
    <xf numFmtId="0" fontId="0" fillId="0" borderId="9" pivotButton="0" quotePrefix="0" xfId="0"/>
    <xf numFmtId="0" fontId="0" fillId="0" borderId="11" pivotButton="0" quotePrefix="0" xfId="0"/>
    <xf numFmtId="0" fontId="7" fillId="6" borderId="1" applyAlignment="1" pivotButton="0" quotePrefix="0" xfId="0">
      <alignment horizontal="center" vertical="top" wrapText="1"/>
    </xf>
    <xf numFmtId="0" fontId="7" fillId="7" borderId="1" applyAlignment="1" pivotButton="0" quotePrefix="0" xfId="0">
      <alignment horizontal="center" vertical="top" wrapText="1"/>
    </xf>
    <xf numFmtId="0" fontId="7" fillId="6" borderId="15" applyAlignment="1" pivotButton="0" quotePrefix="0" xfId="0">
      <alignment horizontal="center" vertical="top" wrapText="1"/>
    </xf>
    <xf numFmtId="0" fontId="7" fillId="7" borderId="15" applyAlignment="1" pivotButton="0" quotePrefix="0" xfId="0">
      <alignment horizontal="center" vertical="top" wrapText="1"/>
    </xf>
    <xf numFmtId="0" fontId="0" fillId="0" borderId="15" pivotButton="0" quotePrefix="0" xfId="0"/>
    <xf numFmtId="0" fontId="8" fillId="8" borderId="1" applyAlignment="1" pivotButton="0" quotePrefix="0" xfId="0">
      <alignment vertical="top" wrapText="1"/>
    </xf>
    <xf numFmtId="0" fontId="5" fillId="8" borderId="1" applyAlignment="1" pivotButton="0" quotePrefix="0" xfId="0">
      <alignment vertical="top" wrapText="1"/>
    </xf>
    <xf numFmtId="0" fontId="73" fillId="3" borderId="1" applyAlignment="1" pivotButton="0" quotePrefix="0" xfId="0">
      <alignment vertical="top" wrapText="1"/>
    </xf>
    <xf numFmtId="0" fontId="8" fillId="0" borderId="1" applyAlignment="1" pivotButton="0" quotePrefix="0" xfId="0">
      <alignment vertical="top" wrapText="1"/>
    </xf>
    <xf numFmtId="0" fontId="5" fillId="0" borderId="1" applyAlignment="1" pivotButton="0" quotePrefix="0" xfId="0">
      <alignmen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165" fontId="5" fillId="0" borderId="1" applyAlignment="1" pivotButton="0" quotePrefix="0" xfId="0">
      <alignment vertical="top" wrapText="1"/>
    </xf>
    <xf numFmtId="0" fontId="0" fillId="0" borderId="13" pivotButton="0" quotePrefix="0" xfId="0"/>
    <xf numFmtId="0" fontId="77" fillId="0" borderId="0" pivotButton="0" quotePrefix="0" xfId="0"/>
    <xf numFmtId="0" fontId="78" fillId="23" borderId="24" applyAlignment="1" pivotButton="0" quotePrefix="0" xfId="0">
      <alignment horizontal="center" vertical="center" wrapText="1"/>
    </xf>
    <xf numFmtId="0" fontId="79" fillId="0" borderId="24" applyAlignment="1" pivotButton="0" quotePrefix="0" xfId="0">
      <alignment horizontal="left" vertical="center" wrapText="1"/>
    </xf>
  </cellXfs>
  <cellStyles count="1">
    <cellStyle name="Normal" xfId="0" builtinId="0"/>
  </cellStyles>
  <dxfs count="2">
    <dxf>
      <font/>
      <fill>
        <patternFill patternType="solid">
          <fgColor rgb="FFB7E1CD"/>
          <bgColor rgb="FFB7E1CD"/>
        </patternFill>
      </fill>
      <border/>
    </dxf>
    <dxf>
      <font/>
      <fill>
        <patternFill patternType="solid">
          <fgColor rgb="FFFF0000"/>
          <bgColor rgb="FFFF000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C48"/>
  <sheetViews>
    <sheetView workbookViewId="0">
      <selection activeCell="A1" sqref="A1"/>
    </sheetView>
  </sheetViews>
  <sheetFormatPr baseColWidth="8" defaultColWidth="12.63" defaultRowHeight="15" customHeight="1" outlineLevelRow="1"/>
  <cols>
    <col width="12.63" customWidth="1" style="675" min="1" max="1"/>
    <col width="21" customWidth="1" style="675" min="2" max="2"/>
    <col width="45.88" customWidth="1" style="675" min="3" max="3"/>
    <col width="51.25" customWidth="1" style="675" min="4" max="4"/>
    <col width="48.13" customWidth="1" style="675" min="5" max="5"/>
    <col hidden="1" width="21.38" customWidth="1" style="675" min="6" max="6"/>
    <col hidden="1" width="11" customWidth="1" style="675" min="7" max="8"/>
    <col hidden="1" width="13" customWidth="1" style="675" min="9" max="9"/>
    <col hidden="1" width="12.63" customWidth="1" style="675" min="10" max="10"/>
    <col width="33" customWidth="1" style="675" min="13" max="13"/>
  </cols>
  <sheetData>
    <row r="1">
      <c r="A1" s="676" t="n"/>
      <c r="B1" s="677" t="n"/>
      <c r="C1" s="678" t="inlineStr">
        <is>
          <t>TỔNG CÔNG TY CỔ PHẦN BƯU CHÍNH VIETTEL
 KỊCH BẢN KIỂM THỬ</t>
        </is>
      </c>
      <c r="D1" s="679" t="n"/>
      <c r="E1" s="679" t="n"/>
      <c r="F1" s="679" t="n"/>
      <c r="G1" s="679" t="n"/>
      <c r="H1" s="679" t="n"/>
      <c r="I1" s="679" t="n"/>
      <c r="J1" s="679" t="n"/>
      <c r="K1" s="679" t="n"/>
      <c r="L1" s="679" t="n"/>
      <c r="M1" s="680" t="n"/>
      <c r="N1" s="392" t="n"/>
      <c r="O1" s="268" t="n"/>
      <c r="P1" s="268" t="n"/>
      <c r="Q1" s="268" t="n"/>
      <c r="R1" s="268" t="n"/>
      <c r="S1" s="268" t="n"/>
      <c r="T1" s="268" t="n"/>
      <c r="U1" s="268" t="n"/>
      <c r="V1" s="268" t="n"/>
      <c r="W1" s="268" t="n"/>
      <c r="X1" s="268" t="n"/>
      <c r="Y1" s="268" t="n"/>
      <c r="Z1" s="268" t="n"/>
      <c r="AA1" s="268" t="n"/>
      <c r="AB1" s="268" t="n"/>
      <c r="AC1" s="268" t="n"/>
    </row>
    <row r="2">
      <c r="A2" s="394" t="inlineStr">
        <is>
          <t>Chức năng</t>
        </is>
      </c>
      <c r="B2" s="680" t="n"/>
      <c r="C2" s="34" t="inlineStr">
        <is>
          <t>Quản lý gói cước - UC4 Ban hành (Phát hành) gói cước - TC bổ sung</t>
        </is>
      </c>
      <c r="D2" s="121" t="n"/>
      <c r="E2" s="121" t="n"/>
      <c r="F2" s="121" t="n"/>
      <c r="G2" s="121" t="n"/>
      <c r="H2" s="121" t="n"/>
      <c r="I2" s="121" t="n"/>
      <c r="J2" s="121" t="n"/>
      <c r="K2" s="121" t="n"/>
      <c r="L2" s="121" t="n"/>
      <c r="M2" s="121" t="n"/>
      <c r="N2" s="392" t="n"/>
      <c r="O2" s="268" t="n"/>
      <c r="P2" s="268" t="n"/>
      <c r="Q2" s="268" t="n"/>
      <c r="R2" s="268" t="n"/>
      <c r="S2" s="268" t="n"/>
      <c r="T2" s="268" t="n"/>
      <c r="U2" s="268" t="n"/>
      <c r="V2" s="268" t="n"/>
      <c r="W2" s="268" t="n"/>
      <c r="X2" s="268" t="n"/>
      <c r="Y2" s="268" t="n"/>
      <c r="Z2" s="268" t="n"/>
      <c r="AA2" s="268" t="n"/>
      <c r="AB2" s="268" t="n"/>
      <c r="AC2" s="268" t="n"/>
    </row>
    <row r="3">
      <c r="A3" s="394" t="inlineStr">
        <is>
          <t>Link TL + task</t>
        </is>
      </c>
      <c r="B3" s="680" t="n"/>
      <c r="C3" s="359" t="inlineStr">
        <is>
          <t>SRS: TLNV_Tổng đài Tammi_Gói cước_phase 1 - tab Quản lý gói cước (UC Ban hành gói cước) + tab Luồng mua gói cước trên web OA | Figma: [WEB] Tammi OA - section Chi tiết gói cước node 34842-144249</t>
        </is>
      </c>
      <c r="D3" s="121" t="n"/>
      <c r="E3" s="121" t="n"/>
      <c r="F3" s="392" t="n"/>
      <c r="G3" s="121" t="n"/>
      <c r="H3" s="121" t="n"/>
      <c r="I3" s="121" t="n"/>
      <c r="J3" s="121" t="n"/>
      <c r="K3" s="121" t="n"/>
      <c r="L3" s="121" t="n"/>
      <c r="M3" s="121" t="n"/>
      <c r="N3" s="392" t="n"/>
      <c r="O3" s="268" t="n"/>
      <c r="P3" s="268" t="n"/>
      <c r="Q3" s="268" t="n"/>
      <c r="R3" s="268" t="n"/>
      <c r="S3" s="268" t="n"/>
      <c r="T3" s="268" t="n"/>
      <c r="U3" s="268" t="n"/>
      <c r="V3" s="268" t="n"/>
      <c r="W3" s="268" t="n"/>
      <c r="X3" s="268" t="n"/>
      <c r="Y3" s="268" t="n"/>
      <c r="Z3" s="268" t="n"/>
      <c r="AA3" s="268" t="n"/>
      <c r="AB3" s="268" t="n"/>
      <c r="AC3" s="268" t="n"/>
    </row>
    <row r="4">
      <c r="A4" s="394" t="inlineStr">
        <is>
          <t>ID</t>
        </is>
      </c>
      <c r="B4" s="394" t="n"/>
      <c r="C4" s="109" t="inlineStr">
        <is>
          <t>TC</t>
        </is>
      </c>
      <c r="D4" s="121" t="n"/>
      <c r="E4" s="121" t="n"/>
      <c r="F4" s="392" t="n"/>
      <c r="G4" s="121" t="n"/>
      <c r="H4" s="121" t="n"/>
      <c r="I4" s="121" t="n"/>
      <c r="J4" s="121" t="n"/>
      <c r="K4" s="121" t="n"/>
      <c r="L4" s="121" t="n"/>
      <c r="M4" s="121" t="n"/>
      <c r="N4" s="392" t="n"/>
      <c r="O4" s="268" t="n"/>
      <c r="P4" s="268" t="n"/>
      <c r="Q4" s="268" t="n"/>
      <c r="R4" s="268" t="n"/>
      <c r="S4" s="268" t="n"/>
      <c r="T4" s="268" t="n"/>
      <c r="U4" s="268" t="n"/>
      <c r="V4" s="268" t="n"/>
      <c r="W4" s="268" t="n"/>
      <c r="X4" s="268" t="n"/>
      <c r="Y4" s="268" t="n"/>
      <c r="Z4" s="268" t="n"/>
      <c r="AA4" s="268" t="n"/>
      <c r="AB4" s="268" t="n"/>
      <c r="AC4" s="268" t="n"/>
    </row>
    <row r="5">
      <c r="A5" s="394" t="inlineStr">
        <is>
          <t>Người tạo</t>
        </is>
      </c>
      <c r="B5" s="680" t="n"/>
      <c r="C5" s="34" t="n"/>
      <c r="D5" s="121" t="n"/>
      <c r="E5" s="121" t="n"/>
      <c r="F5" s="121" t="n"/>
      <c r="G5" s="121" t="n"/>
      <c r="H5" s="121" t="n"/>
      <c r="I5" s="121" t="n"/>
      <c r="J5" s="121" t="n"/>
      <c r="K5" s="121" t="n"/>
      <c r="L5" s="121" t="n"/>
      <c r="M5" s="121" t="n"/>
      <c r="N5" s="392" t="n"/>
      <c r="O5" s="268" t="n"/>
      <c r="P5" s="268" t="n"/>
      <c r="Q5" s="268" t="n"/>
      <c r="R5" s="268" t="n"/>
      <c r="S5" s="268" t="n"/>
      <c r="T5" s="268" t="n"/>
      <c r="U5" s="268" t="n"/>
      <c r="V5" s="268" t="n"/>
      <c r="W5" s="268" t="n"/>
      <c r="X5" s="268" t="n"/>
      <c r="Y5" s="268" t="n"/>
      <c r="Z5" s="268" t="n"/>
      <c r="AA5" s="268" t="n"/>
      <c r="AB5" s="268" t="n"/>
      <c r="AC5" s="268" t="n"/>
    </row>
    <row r="6">
      <c r="A6" s="394" t="inlineStr">
        <is>
          <t>Số lượng Testcase</t>
        </is>
      </c>
      <c r="B6" s="680" t="n"/>
      <c r="C6" s="395">
        <f>COUNTIF(A12:A48,"*TC*")</f>
        <v/>
      </c>
      <c r="D6" s="121" t="n"/>
      <c r="E6" s="121" t="n"/>
      <c r="F6" s="121" t="n"/>
      <c r="G6" s="121" t="n"/>
      <c r="H6" s="121" t="n"/>
      <c r="I6" s="121" t="n"/>
      <c r="J6" s="121" t="n"/>
      <c r="K6" s="121" t="n"/>
      <c r="L6" s="121" t="n"/>
      <c r="M6" s="121" t="n"/>
      <c r="N6" s="392" t="n"/>
      <c r="O6" s="268" t="n"/>
      <c r="P6" s="268" t="n"/>
      <c r="Q6" s="268" t="n"/>
      <c r="R6" s="268" t="n"/>
      <c r="S6" s="268" t="n"/>
      <c r="T6" s="268" t="n"/>
      <c r="U6" s="268" t="n"/>
      <c r="V6" s="268" t="n"/>
      <c r="W6" s="268" t="n"/>
      <c r="X6" s="268" t="n"/>
      <c r="Y6" s="268" t="n"/>
      <c r="Z6" s="268" t="n"/>
      <c r="AA6" s="268" t="n"/>
      <c r="AB6" s="268" t="n"/>
      <c r="AC6" s="268" t="n"/>
    </row>
    <row r="7">
      <c r="A7" s="249" t="inlineStr">
        <is>
          <t>Số testcase đạt (Pass)</t>
        </is>
      </c>
      <c r="B7" s="680" t="n"/>
      <c r="C7" s="468">
        <f>COUNTIF($K$15:$K$48,"Pass")</f>
        <v/>
      </c>
      <c r="D7" s="398" t="n"/>
      <c r="E7" s="398" t="n"/>
      <c r="F7" s="398" t="n"/>
      <c r="G7" s="398" t="n"/>
      <c r="H7" s="398" t="n"/>
      <c r="I7" s="398" t="n"/>
      <c r="J7" s="398" t="n"/>
      <c r="K7" s="398" t="n"/>
      <c r="L7" s="398" t="n"/>
      <c r="M7" s="398" t="n"/>
      <c r="N7" s="392" t="n"/>
      <c r="O7" s="268" t="n"/>
      <c r="P7" s="268" t="n"/>
      <c r="Q7" s="268" t="n"/>
      <c r="R7" s="268" t="n"/>
      <c r="S7" s="268" t="n"/>
      <c r="T7" s="268" t="n"/>
      <c r="U7" s="268" t="n"/>
      <c r="V7" s="268" t="n"/>
      <c r="W7" s="268" t="n"/>
      <c r="X7" s="268" t="n"/>
      <c r="Y7" s="268" t="n"/>
      <c r="Z7" s="268" t="n"/>
      <c r="AA7" s="268" t="n"/>
      <c r="AB7" s="268" t="n"/>
      <c r="AC7" s="268" t="n"/>
    </row>
    <row r="8">
      <c r="A8" s="249" t="inlineStr">
        <is>
          <t>Số testcase không đạt (Fail)</t>
        </is>
      </c>
      <c r="B8" s="680" t="n"/>
      <c r="C8" s="468">
        <f>COUNTIF($K$15:$K$48,"Fail")</f>
        <v/>
      </c>
      <c r="D8" s="398" t="n"/>
      <c r="E8" s="398" t="n"/>
      <c r="F8" s="398" t="n"/>
      <c r="G8" s="398" t="n"/>
      <c r="H8" s="398" t="n"/>
      <c r="I8" s="398" t="n"/>
      <c r="J8" s="398" t="n"/>
      <c r="K8" s="398" t="n"/>
      <c r="L8" s="398" t="n"/>
      <c r="M8" s="398" t="n"/>
      <c r="N8" s="392" t="n"/>
      <c r="O8" s="268" t="n"/>
      <c r="P8" s="268" t="n"/>
      <c r="Q8" s="268" t="n"/>
      <c r="R8" s="268" t="n"/>
      <c r="S8" s="268" t="n"/>
      <c r="T8" s="268" t="n"/>
      <c r="U8" s="268" t="n"/>
      <c r="V8" s="268" t="n"/>
      <c r="W8" s="268" t="n"/>
      <c r="X8" s="268" t="n"/>
      <c r="Y8" s="268" t="n"/>
      <c r="Z8" s="268" t="n"/>
      <c r="AA8" s="268" t="n"/>
      <c r="AB8" s="268" t="n"/>
      <c r="AC8" s="268" t="n"/>
    </row>
    <row r="9">
      <c r="A9" s="249" t="inlineStr">
        <is>
          <t>Số testcase N/A</t>
        </is>
      </c>
      <c r="B9" s="680" t="n"/>
      <c r="C9" s="468">
        <f>COUNTIF($K$15:$K$48,"N/A")</f>
        <v/>
      </c>
      <c r="D9" s="398" t="n"/>
      <c r="E9" s="398" t="n"/>
      <c r="F9" s="398" t="n"/>
      <c r="G9" s="398" t="n"/>
      <c r="H9" s="398" t="n"/>
      <c r="I9" s="398" t="n"/>
      <c r="J9" s="398" t="n"/>
      <c r="K9" s="398" t="n"/>
      <c r="L9" s="398" t="n"/>
      <c r="M9" s="398" t="n"/>
      <c r="N9" s="392" t="n"/>
      <c r="O9" s="268" t="n"/>
      <c r="P9" s="268" t="n"/>
      <c r="Q9" s="268" t="n"/>
      <c r="R9" s="268" t="n"/>
      <c r="S9" s="268" t="n"/>
      <c r="T9" s="268" t="n"/>
      <c r="U9" s="268" t="n"/>
      <c r="V9" s="268" t="n"/>
      <c r="W9" s="268" t="n"/>
      <c r="X9" s="268" t="n"/>
      <c r="Y9" s="268" t="n"/>
      <c r="Z9" s="268" t="n"/>
      <c r="AA9" s="268" t="n"/>
      <c r="AB9" s="268" t="n"/>
      <c r="AC9" s="268" t="n"/>
    </row>
    <row r="10">
      <c r="A10" s="681" t="inlineStr">
        <is>
          <t>ID</t>
        </is>
      </c>
      <c r="B10" s="681" t="inlineStr">
        <is>
          <t>Chức năng</t>
        </is>
      </c>
      <c r="C10" s="681" t="inlineStr">
        <is>
          <t>Mục đích</t>
        </is>
      </c>
      <c r="D10" s="681" t="inlineStr">
        <is>
          <t>Các bước thực hiện kiểm thử</t>
        </is>
      </c>
      <c r="E10" s="681" t="inlineStr">
        <is>
          <t>Kết quả mong muốn</t>
        </is>
      </c>
      <c r="F10" s="681" t="inlineStr">
        <is>
          <t>Dữ liệu kiểm thử</t>
        </is>
      </c>
      <c r="G10" s="682" t="inlineStr">
        <is>
          <t>Ngày tạo TCs</t>
        </is>
      </c>
      <c r="H10" s="681" t="inlineStr">
        <is>
          <t>Người thực hiện</t>
        </is>
      </c>
      <c r="I10" s="683" t="inlineStr">
        <is>
          <t>Ngày thực hiện</t>
        </is>
      </c>
      <c r="J10" s="684" t="inlineStr">
        <is>
          <t>Log ngày Test lại</t>
        </is>
      </c>
      <c r="K10" s="683" t="inlineStr">
        <is>
          <t xml:space="preserve">Trạng thái
</t>
        </is>
      </c>
      <c r="L10" s="683" t="inlineStr">
        <is>
          <t>Test sau Upcode</t>
        </is>
      </c>
      <c r="M10" s="683" t="inlineStr">
        <is>
          <t>Ghi chú</t>
        </is>
      </c>
      <c r="N10" s="392" t="n"/>
      <c r="O10" s="268" t="n"/>
      <c r="P10" s="268" t="n"/>
      <c r="Q10" s="268" t="n"/>
      <c r="R10" s="268" t="n"/>
      <c r="S10" s="268" t="n"/>
      <c r="T10" s="268" t="n"/>
      <c r="U10" s="268" t="n"/>
      <c r="V10" s="268" t="n"/>
      <c r="W10" s="268" t="n"/>
      <c r="X10" s="268" t="n"/>
      <c r="Y10" s="268" t="n"/>
      <c r="Z10" s="268" t="n"/>
      <c r="AA10" s="268" t="n"/>
      <c r="AB10" s="268" t="n"/>
      <c r="AC10" s="268" t="n"/>
    </row>
    <row r="11">
      <c r="A11" s="685" t="n"/>
      <c r="B11" s="685" t="n"/>
      <c r="C11" s="685" t="n"/>
      <c r="D11" s="685" t="n"/>
      <c r="E11" s="685" t="n"/>
      <c r="F11" s="685" t="n"/>
      <c r="G11" s="685" t="n"/>
      <c r="H11" s="685" t="n"/>
      <c r="I11" s="685" t="n"/>
      <c r="J11" s="685" t="n"/>
      <c r="K11" s="685" t="n"/>
      <c r="L11" s="685" t="n"/>
      <c r="M11" s="685" t="n"/>
      <c r="N11" s="392" t="n"/>
      <c r="O11" s="268" t="n"/>
      <c r="P11" s="268" t="n"/>
      <c r="Q11" s="268" t="n"/>
      <c r="R11" s="268" t="n"/>
      <c r="S11" s="268" t="n"/>
      <c r="T11" s="268" t="n"/>
      <c r="U11" s="268" t="n"/>
      <c r="V11" s="268" t="n"/>
      <c r="W11" s="268" t="n"/>
      <c r="X11" s="268" t="n"/>
      <c r="Y11" s="268" t="n"/>
      <c r="Z11" s="268" t="n"/>
      <c r="AA11" s="268" t="n"/>
      <c r="AB11" s="268" t="n"/>
      <c r="AC11" s="268" t="n"/>
    </row>
    <row r="12" ht="20" customHeight="1" s="675">
      <c r="A12" s="686" t="inlineStr">
        <is>
          <t>UC4 (bổ sung): (CMS admin) Chức năng Ban hành (Phát hành) gói cước</t>
        </is>
      </c>
      <c r="B12" s="679" t="n"/>
      <c r="C12" s="680" t="n"/>
      <c r="D12" s="687" t="n"/>
      <c r="E12" s="687" t="n"/>
      <c r="F12" s="687" t="n"/>
      <c r="G12" s="687" t="n"/>
      <c r="H12" s="687" t="n"/>
      <c r="I12" s="687" t="n"/>
      <c r="J12" s="687" t="n"/>
      <c r="K12" s="687" t="n"/>
      <c r="L12" s="687" t="n"/>
      <c r="M12" s="687" t="n"/>
    </row>
    <row r="13" ht="80" customHeight="1" s="675">
      <c r="A13" s="688" t="inlineStr">
        <is>
          <t xml:space="preserve">Pre-condition: 
Bước 1: Admin đăng nhập CMS, có quyền quản lý, phát hành gói cước
Bước 2: Gói cước đang ở trạng thái Nháp, thông tin và tham số tính năng đã cấu hình hợp lệ
Bước 3: Mở màn Chi tiết gói cước của gói đó
</t>
        </is>
      </c>
      <c r="B13" s="679" t="n"/>
      <c r="C13" s="679" t="n"/>
      <c r="D13" s="679" t="n"/>
      <c r="E13" s="679" t="n"/>
      <c r="F13" s="679" t="n"/>
      <c r="G13" s="679" t="n"/>
      <c r="H13" s="679" t="n"/>
      <c r="I13" s="679" t="n"/>
      <c r="J13" s="679" t="n"/>
      <c r="K13" s="679" t="n"/>
      <c r="L13" s="679" t="n"/>
      <c r="M13" s="680" t="n"/>
    </row>
    <row r="14" ht="20" customHeight="1" s="675">
      <c r="A14" s="689" t="inlineStr">
        <is>
          <t>Kiểm tra gui UI/UX (đối chiếu Figma)</t>
        </is>
      </c>
      <c r="B14" s="679" t="n"/>
      <c r="C14" s="679" t="n"/>
      <c r="D14" s="679" t="n"/>
      <c r="E14" s="679" t="n"/>
      <c r="F14" s="679" t="n"/>
      <c r="G14" s="679" t="n"/>
      <c r="H14" s="679" t="n"/>
      <c r="I14" s="679" t="n"/>
      <c r="J14" s="679" t="n"/>
      <c r="K14" s="680" t="n"/>
      <c r="L14" s="690" t="n"/>
      <c r="M14" s="690" t="n"/>
    </row>
    <row r="15" ht="96" customHeight="1" s="675">
      <c r="A15" s="691">
        <f>$C$4&amp;"-"&amp;TEXT(COUNTA($D$12:D15),"00")</f>
        <v/>
      </c>
      <c r="B15" s="692" t="inlineStr">
        <is>
          <t>Thanh tiêu đề màn Chi tiết</t>
        </is>
      </c>
      <c r="C15" s="692" t="inlineStr">
        <is>
          <t>Kiểm tra cụm button trên thanh tiêu đề khi gói ở trạng thái Nháp</t>
        </is>
      </c>
      <c r="D15" s="692" t="inlineStr">
        <is>
          <t>1. Kiểm tra cụm button góc phải thanh tiêu đề</t>
        </is>
      </c>
      <c r="E15" s="692" t="inlineStr">
        <is>
          <t>1. Hiển thị lần lượt từ trái qua phải:
+ "Phát hành" (nền đen)
+ "Nhân bản gói" (viền)
+ "Chỉnh sửa" (viền)
+ "Xóa" (nền đỏ)</t>
        </is>
      </c>
      <c r="F15" s="690" t="n"/>
      <c r="G15" s="693" t="inlineStr">
        <is>
          <t>30/09/2026</t>
        </is>
      </c>
      <c r="H15" s="690" t="n"/>
      <c r="I15" s="690" t="n"/>
      <c r="J15" s="690" t="n"/>
      <c r="K15" s="690" t="n"/>
      <c r="L15" s="690" t="n"/>
      <c r="M15" s="690" t="inlineStr">
        <is>
          <t>Figma section Chi tiết gói cước - frame trạng thái Nháp. SRS UC xem chi tiết chỉ mô tả Chỉnh sửa, Xoá, Phát hành, không có "Nhân bản gói" - Cần BA confirm</t>
        </is>
      </c>
    </row>
    <row r="16" ht="96" customHeight="1" s="675">
      <c r="A16" s="691">
        <f>$C$4&amp;"-"&amp;TEXT(COUNTA($D$12:D16),"00")</f>
        <v/>
      </c>
      <c r="B16" s="685" t="n"/>
      <c r="C16" s="692" t="inlineStr">
        <is>
          <t>Kiểm tra ẩn button Phát hành và Nhân bản gói sau khi phát hành</t>
        </is>
      </c>
      <c r="D16" s="692" t="inlineStr">
        <is>
          <t>1. Click Phát hành &gt; Xác nhận (gói chuyển Đã phát hành)
2. Kiểm tra cụm button thanh tiêu đề</t>
        </is>
      </c>
      <c r="E16" s="692" t="inlineStr">
        <is>
          <t>2. Chỉ còn button "Chỉnh sửa", "Xóa"; không hiển thị "Phát hành", "Nhân bản gói"</t>
        </is>
      </c>
      <c r="F16" s="690" t="n"/>
      <c r="G16" s="693" t="inlineStr">
        <is>
          <t>30/09/2026</t>
        </is>
      </c>
      <c r="H16" s="690" t="n"/>
      <c r="I16" s="690" t="n"/>
      <c r="J16" s="690" t="n"/>
      <c r="K16" s="690" t="n"/>
      <c r="L16" s="690" t="n"/>
      <c r="M16" s="690" t="inlineStr">
        <is>
          <t>Figma frame Đã phát hành, Đang kinh doanh: không có Phát hành, Nhân bản gói. SRS không nêu rule ẩn Nhân bản gói - Cần BA confirm - Kỹ thuật: Bảng quyết định</t>
        </is>
      </c>
    </row>
    <row r="17" ht="64" customHeight="1" s="675">
      <c r="A17" s="691">
        <f>$C$4&amp;"-"&amp;TEXT(COUNTA($D$12:D17),"00")</f>
        <v/>
      </c>
      <c r="B17" s="692" t="inlineStr">
        <is>
          <t>Trạng thái gói trên thanh tiêu đề</t>
        </is>
      </c>
      <c r="C17" s="692" t="inlineStr">
        <is>
          <t>Kiểm tra nhãn trạng thái cập nhật ngay sau khi phát hành</t>
        </is>
      </c>
      <c r="D17" s="692" t="inlineStr">
        <is>
          <t>1. Kiểm tra nhãn trạng thái cạnh tiêu đề "Chi tiết gói cước"
2. Click Phát hành &gt; Xác nhận
3. Kiểm tra lại nhãn trạng thái (không tải lại trang)</t>
        </is>
      </c>
      <c r="E17" s="692" t="inlineStr">
        <is>
          <t>1. Hiển thị nhãn "Nháp" dạng chấm tròn + text theo design
3. Nhãn đổi ngay sang trạng thái mới (VD "Đã phát hành") với màu theo design, không cần tải lại trang</t>
        </is>
      </c>
      <c r="F17" s="690" t="n"/>
      <c r="G17" s="693" t="inlineStr">
        <is>
          <t>30/09/2026</t>
        </is>
      </c>
      <c r="H17" s="690" t="n"/>
      <c r="I17" s="690" t="n"/>
      <c r="J17" s="690" t="n"/>
      <c r="K17" s="690" t="n"/>
      <c r="L17" s="690" t="n"/>
      <c r="M17" s="690" t="inlineStr">
        <is>
          <t>Figma frame Nháp / Đã phát hành / Đang kinh doanh - UC Ban hành gói cước Post-condition 1</t>
        </is>
      </c>
    </row>
    <row r="18" ht="48" customHeight="1" s="675">
      <c r="A18" s="691">
        <f>$C$4&amp;"-"&amp;TEXT(COUNTA($D$12:D18),"00")</f>
        <v/>
      </c>
      <c r="B18" s="692" t="inlineStr">
        <is>
          <t>Popup phát hành</t>
        </is>
      </c>
      <c r="C18" s="692" t="inlineStr">
        <is>
          <t>Kiểm tra {Mã gói} trong nội dung popup là mã thật của gói</t>
        </is>
      </c>
      <c r="D18" s="692" t="inlineStr">
        <is>
          <t>ĐK: Gói có Mã gói cước = OAPLUS30
1. Click Phát hành
2. Kiểm tra nội dung popup</t>
        </is>
      </c>
      <c r="E18" s="692" t="inlineStr">
        <is>
          <t>2. Nội dung popup hiển thị đúng "OAPLUS30" in đậm tại vị trí {Mã gói}, không hiển thị nguyên chuỗi "{Mã gói}"</t>
        </is>
      </c>
      <c r="F18" s="690" t="inlineStr">
        <is>
          <t>Mã gói: OAPLUS30</t>
        </is>
      </c>
      <c r="G18" s="693" t="inlineStr">
        <is>
          <t>30/09/2026</t>
        </is>
      </c>
      <c r="H18" s="690" t="n"/>
      <c r="I18" s="690" t="n"/>
      <c r="J18" s="690" t="n"/>
      <c r="K18" s="690" t="n"/>
      <c r="L18" s="690" t="n"/>
      <c r="M18" s="690" t="inlineStr">
        <is>
          <t>Figma 5 popup "Phát hành gói cước?" - UC Ban hành gói cước STT 3</t>
        </is>
      </c>
    </row>
    <row r="19" ht="48" customHeight="1" s="675">
      <c r="A19" s="691">
        <f>$C$4&amp;"-"&amp;TEXT(COUNTA($D$12:D19),"00")</f>
        <v/>
      </c>
      <c r="B19" s="694" t="n"/>
      <c r="C19" s="692" t="inlineStr">
        <is>
          <t>Kiểm tra popup khi Mã gói dài tối đa 50 ký tự</t>
        </is>
      </c>
      <c r="D19" s="692" t="inlineStr">
        <is>
          <t>ĐK: Gói có Mã gói cước dài 50 ký tự
1. Click Phát hành
2. Kiểm tra hiển thị popup</t>
        </is>
      </c>
      <c r="E19" s="692" t="inlineStr">
        <is>
          <t>2. Mã gói hiển thị đủ 50 ký tự, tự xuống dòng trong popup, không tràn khung, không che button</t>
        </is>
      </c>
      <c r="F19" s="690" t="inlineStr">
        <is>
          <t>Mã gói 50 ký tự: AUTOBANHANHOAPLUS30NGAY1234567890ABCDEFGHIJKLMNOPQ</t>
        </is>
      </c>
      <c r="G19" s="693" t="inlineStr">
        <is>
          <t>30/09/2026</t>
        </is>
      </c>
      <c r="H19" s="690" t="n"/>
      <c r="I19" s="690" t="n"/>
      <c r="J19" s="690" t="n"/>
      <c r="K19" s="690" t="n"/>
      <c r="L19" s="690" t="n"/>
      <c r="M19" s="690" t="inlineStr">
        <is>
          <t>UC2 tạo mới STT 1 (VARCHAR 50) - Kỹ thuật: Phân tích giá trị biên</t>
        </is>
      </c>
    </row>
    <row r="20" ht="48" customHeight="1" s="675">
      <c r="A20" s="691">
        <f>$C$4&amp;"-"&amp;TEXT(COUNTA($D$12:D20),"00")</f>
        <v/>
      </c>
      <c r="B20" s="694" t="n"/>
      <c r="C20" s="692" t="inlineStr">
        <is>
          <t>Kiểm tra lớp phủ nền và vị trí popup</t>
        </is>
      </c>
      <c r="D20" s="692" t="inlineStr">
        <is>
          <t>1. Click Phát hành
2. Kiểm tra hiển thị</t>
        </is>
      </c>
      <c r="E20" s="692" t="inlineStr">
        <is>
          <t>2. 
- Popup hiển thị giữa màn hình
- Màn chi tiết phía sau bị phủ nền tối theo design</t>
        </is>
      </c>
      <c r="F20" s="690" t="n"/>
      <c r="G20" s="693" t="inlineStr">
        <is>
          <t>30/09/2026</t>
        </is>
      </c>
      <c r="H20" s="690" t="n"/>
      <c r="I20" s="690" t="n"/>
      <c r="J20" s="690" t="n"/>
      <c r="K20" s="690" t="n"/>
      <c r="L20" s="690" t="n"/>
      <c r="M20" s="690" t="inlineStr">
        <is>
          <t>Figma popup Phát hành gói cước</t>
        </is>
      </c>
    </row>
    <row r="21" ht="48" customHeight="1" s="675">
      <c r="A21" s="691">
        <f>$C$4&amp;"-"&amp;TEXT(COUNTA($D$12:D21),"00")</f>
        <v/>
      </c>
      <c r="B21" s="694" t="n"/>
      <c r="C21" s="692" t="inlineStr">
        <is>
          <t>Kiểm tra thứ tự di chuyển trỏ trong popup khi nhấn phím Tab</t>
        </is>
      </c>
      <c r="D21" s="692" t="inlineStr">
        <is>
          <t>1. Click Phát hành
2. Nhấn Tab liên tục</t>
        </is>
      </c>
      <c r="E21" s="692" t="inlineStr">
        <is>
          <t>2. Con trỏ di chuyển lần lượt: icon X → button phụ ("Sửa ...") → "Xác nhận"; không nhảy ra màn phía sau popup</t>
        </is>
      </c>
      <c r="F21" s="690" t="n"/>
      <c r="G21" s="693" t="inlineStr">
        <is>
          <t>30/09/2026</t>
        </is>
      </c>
      <c r="H21" s="690" t="n"/>
      <c r="I21" s="690" t="n"/>
      <c r="J21" s="690" t="n"/>
      <c r="K21" s="690" t="n"/>
      <c r="L21" s="690" t="n"/>
      <c r="M21" s="690" t="inlineStr">
        <is>
          <t>Theo TC chuẩn sheet mẫu (Tab / Shift-Tab). SRS chưa mô tả - Cần BA confirm</t>
        </is>
      </c>
    </row>
    <row r="22" ht="48" customHeight="1" s="675">
      <c r="A22" s="691">
        <f>$C$4&amp;"-"&amp;TEXT(COUNTA($D$12:D22),"00")</f>
        <v/>
      </c>
      <c r="B22" s="694" t="n"/>
      <c r="C22" s="692" t="inlineStr">
        <is>
          <t>Kiểm tra nhấn Enter khi con trỏ đang ở button Xác nhận</t>
        </is>
      </c>
      <c r="D22" s="692" t="inlineStr">
        <is>
          <t>1. Click Phát hành
2. Tab tới button "Xác nhận"
3. Nhấn Enter</t>
        </is>
      </c>
      <c r="E22" s="692" t="inlineStr">
        <is>
          <t>3. Thực hiện phát hành như khi click Xác nhận: đóng popup, toast "Phát hành gói cước thành công"</t>
        </is>
      </c>
      <c r="F22" s="690" t="n"/>
      <c r="G22" s="693" t="inlineStr">
        <is>
          <t>30/09/2026</t>
        </is>
      </c>
      <c r="H22" s="690" t="n"/>
      <c r="I22" s="690" t="n"/>
      <c r="J22" s="690" t="n"/>
      <c r="K22" s="690" t="n"/>
      <c r="L22" s="690" t="n"/>
      <c r="M22" s="690" t="inlineStr">
        <is>
          <t>SRS chưa mô tả - Cần BA confirm</t>
        </is>
      </c>
    </row>
    <row r="23" ht="48" customHeight="1" s="675">
      <c r="A23" s="691">
        <f>$C$4&amp;"-"&amp;TEXT(COUNTA($D$12:D23),"00")</f>
        <v/>
      </c>
      <c r="B23" s="685" t="n"/>
      <c r="C23" s="692" t="inlineStr">
        <is>
          <t>Kiểm tra giao diện popup khi thu nhỏ, phóng to</t>
        </is>
      </c>
      <c r="D23" s="692" t="inlineStr">
        <is>
          <t>1. Click Phát hành
2. Nhấn tổ hợp phím Ctrl -
3. Nhấn tổ hợp phím Ctrl +</t>
        </is>
      </c>
      <c r="E23" s="692" t="inlineStr">
        <is>
          <t>2, 3. Popup thu nhỏ, phóng to tương ứng, không bị vỡ giao diện, không mất button</t>
        </is>
      </c>
      <c r="F23" s="690" t="n"/>
      <c r="G23" s="693" t="inlineStr">
        <is>
          <t>30/09/2026</t>
        </is>
      </c>
      <c r="H23" s="690" t="n"/>
      <c r="I23" s="690" t="n"/>
      <c r="J23" s="690" t="n"/>
      <c r="K23" s="690" t="n"/>
      <c r="L23" s="690" t="n"/>
      <c r="M23" s="690" t="inlineStr">
        <is>
          <t>Theo TC chuẩn sheet mẫu</t>
        </is>
      </c>
    </row>
    <row r="24" ht="32" customHeight="1" s="675">
      <c r="A24" s="691">
        <f>$C$4&amp;"-"&amp;TEXT(COUNTA($D$12:D24),"00")</f>
        <v/>
      </c>
      <c r="B24" s="692" t="inlineStr">
        <is>
          <t>Button Phát hành</t>
        </is>
      </c>
      <c r="C24" s="692" t="inlineStr">
        <is>
          <t>Kiểm tra click button Phát hành liên tục</t>
        </is>
      </c>
      <c r="D24" s="692" t="inlineStr">
        <is>
          <t>1. Click button Phát hành 2 lần liên tiếp thật nhanh</t>
        </is>
      </c>
      <c r="E24" s="692" t="inlineStr">
        <is>
          <t>1. Chỉ mở 1 popup, không mở chồng 2 popup</t>
        </is>
      </c>
      <c r="F24" s="690" t="n"/>
      <c r="G24" s="693" t="inlineStr">
        <is>
          <t>30/09/2026</t>
        </is>
      </c>
      <c r="H24" s="690" t="n"/>
      <c r="I24" s="690" t="n"/>
      <c r="J24" s="690" t="n"/>
      <c r="K24" s="690" t="n"/>
      <c r="L24" s="690" t="n"/>
      <c r="M24" s="690" t="inlineStr">
        <is>
          <t>Kỹ thuật: Chống thao tác trùng</t>
        </is>
      </c>
    </row>
    <row r="25" ht="20" customHeight="1" s="675">
      <c r="A25" s="689" t="inlineStr">
        <is>
          <t>Vòng lặp sửa thông tin từ popup rồi phát hành lại</t>
        </is>
      </c>
      <c r="B25" s="679" t="n"/>
      <c r="C25" s="679" t="n"/>
      <c r="D25" s="679" t="n"/>
      <c r="E25" s="679" t="n"/>
      <c r="F25" s="679" t="n"/>
      <c r="G25" s="679" t="n"/>
      <c r="H25" s="679" t="n"/>
      <c r="I25" s="679" t="n"/>
      <c r="J25" s="679" t="n"/>
      <c r="K25" s="680" t="n"/>
      <c r="L25" s="690" t="n"/>
      <c r="M25" s="690" t="n"/>
    </row>
    <row r="26" ht="96" customHeight="1" s="675">
      <c r="A26" s="691">
        <f>$C$4&amp;"-"&amp;TEXT(COUNTA($D$12:D26),"00")</f>
        <v/>
      </c>
      <c r="B26" s="692" t="inlineStr">
        <is>
          <t>Sửa ngày bắt đầu</t>
        </is>
      </c>
      <c r="C26" s="692" t="inlineStr">
        <is>
          <t>Kiểm tra phát hành lại sau khi sửa ngày bắt đầu từ popup TH1.2</t>
        </is>
      </c>
      <c r="D26" s="692" t="inlineStr">
        <is>
          <t>ĐK: Tự động, hiện tại ≥ thời gian bắt đầu, hiện tại &lt; thời gian kết thúc
1. Click Phát hành (popup TH1.2)
2. Click "Sửa ngày bắt đầu"
3. Sửa Thời gian bắt đầu = hiện tại + 1 ngày &gt; Lưu
4. Quay lại Chi tiết gói &gt; click Phát hành
5. Click Xác nhận</t>
        </is>
      </c>
      <c r="E26" s="692" t="inlineStr">
        <is>
          <t>2. Điều hướng đến màn Chỉnh sửa gói cước
3. Lưu thành công, gói vẫn ở trạng thái Nháp
4. Hiển thị popup nội dung TH1.1 (Đã phát hành), button "Sửa ngày bắt đầu"
5. Gói chuyển "Đã phát hành", toast "Phát hành gói cước thành công"</t>
        </is>
      </c>
      <c r="F26" s="690" t="inlineStr">
        <is>
          <t>Bắt đầu mới = hiện tại + 1 ngày</t>
        </is>
      </c>
      <c r="G26" s="693" t="inlineStr">
        <is>
          <t>30/09/2026</t>
        </is>
      </c>
      <c r="H26" s="690" t="n"/>
      <c r="I26" s="690" t="n"/>
      <c r="J26" s="690" t="n"/>
      <c r="K26" s="690" t="n"/>
      <c r="L26" s="690" t="n"/>
      <c r="M26" s="690" t="inlineStr">
        <is>
          <t>UC Ban hành gói cước Exception 3a + Bước 2 TH1.1 - Kỹ thuật: Sơ đồ chuyển trạng thái. SRS UC Chỉnh sửa gói cước đang trống - Cần BA confirm</t>
        </is>
      </c>
    </row>
    <row r="27" ht="112" customHeight="1" s="675">
      <c r="A27" s="691">
        <f>$C$4&amp;"-"&amp;TEXT(COUNTA($D$12:D27),"00")</f>
        <v/>
      </c>
      <c r="B27" s="692" t="inlineStr">
        <is>
          <t>Sửa ngày kết thúc</t>
        </is>
      </c>
      <c r="C27" s="692" t="inlineStr">
        <is>
          <t>Kiểm tra phát hành lại sau khi gia hạn ngày kết thúc từ popup TH1.3</t>
        </is>
      </c>
      <c r="D27" s="692" t="inlineStr">
        <is>
          <t>ĐK: Tự động, hiện tại ≥ thời gian kết thúc
1. Click Phát hành (popup TH1.3)
2. Click "Sửa ngày kết thúc"
3. Sửa Thời gian kết thúc = hiện tại + 30 ngày &gt; Lưu
4. Quay lại Chi tiết gói &gt; click Phát hành
5. Click Xác nhận</t>
        </is>
      </c>
      <c r="E27" s="692" t="inlineStr">
        <is>
          <t>3. Lưu thành công, gói vẫn Nháp
4. Hiển thị popup nội dung TH1.2 (Đang kinh doanh)
5. Gói chuyển "Đang kinh doanh"</t>
        </is>
      </c>
      <c r="F27" s="690" t="inlineStr">
        <is>
          <t>Kết thúc mới = hiện tại + 30 ngày</t>
        </is>
      </c>
      <c r="G27" s="693" t="inlineStr">
        <is>
          <t>30/09/2026</t>
        </is>
      </c>
      <c r="H27" s="690" t="n"/>
      <c r="I27" s="690" t="n"/>
      <c r="J27" s="690" t="n"/>
      <c r="K27" s="690" t="n"/>
      <c r="L27" s="690" t="n"/>
      <c r="M27" s="690" t="inlineStr">
        <is>
          <t>UC Ban hành gói cước Exception 3a. Rủi ro: Thời gian bắt đầu đã ở quá khứ, nếu màn Chỉnh sửa áp rule "Thời gian bắt đầu &gt; hiện tại" (UC2 STT 11) thì không lưu được - Cần BA confirm</t>
        </is>
      </c>
    </row>
    <row r="28" ht="96" customHeight="1" s="675">
      <c r="A28" s="691">
        <f>$C$4&amp;"-"&amp;TEXT(COUNTA($D$12:D28),"00")</f>
        <v/>
      </c>
      <c r="B28" s="692" t="inlineStr">
        <is>
          <t>Sửa trạng thái kinh doanh</t>
        </is>
      </c>
      <c r="C28" s="692" t="inlineStr">
        <is>
          <t>Kiểm tra phát hành lại sau khi đổi trạng thái kinh doanh từ popup Th2.2</t>
        </is>
      </c>
      <c r="D28" s="692" t="inlineStr">
        <is>
          <t>ĐK: Thủ công, Trạng thái kinh doanh = Ngừng kinh doanh
1. Click Phát hành (popup Th2.2)
2. Click "Sửa trạng thái kinh doanh"
3. Đổi Trạng thái kinh doanh = Đang kinh doanh &gt; Lưu
4. Quay lại Chi tiết gói &gt; click Phát hành
5. Click Xác nhận</t>
        </is>
      </c>
      <c r="E28" s="692" t="inlineStr">
        <is>
          <t>4. Hiển thị popup nội dung Th2.1, button "Sửa trạng thái kinh doanh"
5. Gói chuyển "Đang kinh doanh", hiển thị trên kênh bán đã cấu hình</t>
        </is>
      </c>
      <c r="F28" s="690" t="n"/>
      <c r="G28" s="693" t="inlineStr">
        <is>
          <t>30/09/2026</t>
        </is>
      </c>
      <c r="H28" s="690" t="n"/>
      <c r="I28" s="690" t="n"/>
      <c r="J28" s="690" t="n"/>
      <c r="K28" s="690" t="n"/>
      <c r="L28" s="690" t="n"/>
      <c r="M28" s="690" t="inlineStr">
        <is>
          <t>UC Ban hành gói cước Exception 3a + Bước 2 Th2.1 - Kỹ thuật: Sơ đồ chuyển trạng thái</t>
        </is>
      </c>
    </row>
    <row r="29" ht="80" customHeight="1" s="675">
      <c r="A29" s="691">
        <f>$C$4&amp;"-"&amp;TEXT(COUNTA($D$12:D29),"00")</f>
        <v/>
      </c>
      <c r="B29" s="685" t="n"/>
      <c r="C29" s="692" t="inlineStr">
        <is>
          <t>Kiểm tra đổi cơ chế Thủ công sang Tự động từ popup rồi phát hành lại</t>
        </is>
      </c>
      <c r="D29" s="692" t="inlineStr">
        <is>
          <t>ĐK: Thủ công, Trạng thái kinh doanh = Đang kinh doanh
1. Click Phát hành (popup Th2.1)
2. Click "Sửa trạng thái kinh doanh"
3. Đổi Bật/tắt trạng thái = Tự động, bắt đầu = hiện tại + 1 ngày, kết thúc = hiện tại + 30 ngày &gt; Lưu
4. Quay lại Chi tiết gói &gt; click Phát hành</t>
        </is>
      </c>
      <c r="E29" s="692" t="inlineStr">
        <is>
          <t>4. Hiển thị popup nội dung TH1.1 (theo nhánh Tự động), button "Sửa ngày bắt đầu"</t>
        </is>
      </c>
      <c r="F29" s="690" t="n"/>
      <c r="G29" s="693" t="inlineStr">
        <is>
          <t>30/09/2026</t>
        </is>
      </c>
      <c r="H29" s="690" t="n"/>
      <c r="I29" s="690" t="n"/>
      <c r="J29" s="690" t="n"/>
      <c r="K29" s="690" t="n"/>
      <c r="L29" s="690" t="n"/>
      <c r="M29" s="690" t="inlineStr">
        <is>
          <t>UC Ban hành gói cước Bước 2 Th1/Th2 - Kỹ thuật: Bảng quyết định</t>
        </is>
      </c>
    </row>
    <row r="30" ht="64" customHeight="1" s="675">
      <c r="A30" s="691">
        <f>$C$4&amp;"-"&amp;TEXT(COUNTA($D$12:D30),"00")</f>
        <v/>
      </c>
      <c r="B30" s="692" t="inlineStr">
        <is>
          <t>Thoát màn Chỉnh sửa không lưu</t>
        </is>
      </c>
      <c r="C30" s="692" t="inlineStr">
        <is>
          <t>Kiểm tra quay lại từ màn Chỉnh sửa (mở từ popup) mà không lưu</t>
        </is>
      </c>
      <c r="D30" s="692" t="inlineStr">
        <is>
          <t>1. Click Phát hành
2. Click button phụ "Sửa ..." trên popup
3. Tại màn Chỉnh sửa, thay đổi 1 trường rồi click Back, xác nhận thoát</t>
        </is>
      </c>
      <c r="E30" s="692" t="inlineStr">
        <is>
          <t>3. 
- Quay lại màn Chi tiết gói
- Dữ liệu gói không đổi, trạng thái vẫn "Nháp"
- Button Phát hành vẫn hiển thị</t>
        </is>
      </c>
      <c r="F30" s="690" t="n"/>
      <c r="G30" s="693" t="inlineStr">
        <is>
          <t>30/09/2026</t>
        </is>
      </c>
      <c r="H30" s="690" t="n"/>
      <c r="I30" s="690" t="n"/>
      <c r="J30" s="690" t="n"/>
      <c r="K30" s="690" t="n"/>
      <c r="L30" s="690" t="n"/>
      <c r="M30" s="690" t="inlineStr">
        <is>
          <t>UC Ban hành gói cước Exception 3a - SRS UC Chỉnh sửa trống, popup xác nhận thoát theo UC2 AF 01 - Cần BA confirm</t>
        </is>
      </c>
    </row>
    <row r="31" ht="20" customHeight="1" s="675">
      <c r="A31" s="689" t="inlineStr">
        <is>
          <t>Dữ liệu thời gian tạo được qua giao diện / scheduler</t>
        </is>
      </c>
      <c r="B31" s="679" t="n"/>
      <c r="C31" s="679" t="n"/>
      <c r="D31" s="679" t="n"/>
      <c r="E31" s="679" t="n"/>
      <c r="F31" s="679" t="n"/>
      <c r="G31" s="679" t="n"/>
      <c r="H31" s="679" t="n"/>
      <c r="I31" s="679" t="n"/>
      <c r="J31" s="679" t="n"/>
      <c r="K31" s="680" t="n"/>
      <c r="L31" s="690" t="n"/>
      <c r="M31" s="690" t="n"/>
    </row>
    <row r="32" ht="112" customHeight="1" s="675">
      <c r="A32" s="691">
        <f>$C$4&amp;"-"&amp;TEXT(COUNTA($D$12:D32),"00")</f>
        <v/>
      </c>
      <c r="B32" s="692" t="inlineStr">
        <is>
          <t>Chuẩn bị dữ liệu TH1.2</t>
        </is>
      </c>
      <c r="C32" s="692" t="inlineStr">
        <is>
          <t>Kiểm tra TH1.2 với gói tạo qua giao diện rồi chờ qua thời gian bắt đầu</t>
        </is>
      </c>
      <c r="D32" s="692" t="inlineStr">
        <is>
          <t>ĐK: Tạo gói Tự động, bắt đầu = hiện tại + 2 phút, kết thúc = hiện tại + 30 ngày, KHÔNG phát hành
1. Chờ qua thời gian bắt đầu
2. Mở Chi tiết gói &gt; click Phát hành
3. Click Xác nhận</t>
        </is>
      </c>
      <c r="E32" s="692" t="inlineStr">
        <is>
          <t>2. Hiển thị popup nội dung TH1.2
3. Gói chuyển "Đang kinh doanh"</t>
        </is>
      </c>
      <c r="F32" s="690" t="inlineStr">
        <is>
          <t>Bắt đầu = hiện tại + 2 phút</t>
        </is>
      </c>
      <c r="G32" s="693" t="inlineStr">
        <is>
          <t>30/09/2026</t>
        </is>
      </c>
      <c r="H32" s="690" t="n"/>
      <c r="I32" s="690" t="n"/>
      <c r="J32" s="690" t="n"/>
      <c r="K32" s="690" t="n"/>
      <c r="L32" s="690" t="n"/>
      <c r="M32" s="690" t="inlineStr">
        <is>
          <t>UC2 STT 11 bắt buộc Thời gian bắt đầu &gt; hiện tại nên không tạo trực tiếp được gói có bắt đầu ở quá khứ (bộ TC cũ dùng "hiện tại - 1 ngày" phải sửa DB) - Kỹ thuật: Phân tích giá trị biên</t>
        </is>
      </c>
    </row>
    <row r="33" ht="80" customHeight="1" s="675">
      <c r="A33" s="691">
        <f>$C$4&amp;"-"&amp;TEXT(COUNTA($D$12:D33),"00")</f>
        <v/>
      </c>
      <c r="B33" s="692" t="inlineStr">
        <is>
          <t>Chuẩn bị dữ liệu TH1.3</t>
        </is>
      </c>
      <c r="C33" s="692" t="inlineStr">
        <is>
          <t>Kiểm tra TH1.3 với gói tạo qua giao diện rồi chờ qua thời gian kết thúc</t>
        </is>
      </c>
      <c r="D33" s="692" t="inlineStr">
        <is>
          <t>ĐK: Tạo gói Tự động, bắt đầu = hiện tại + 2 phút, kết thúc = hiện tại + 4 phút, KHÔNG phát hành
1. Chờ qua thời gian kết thúc
2. Mở Chi tiết gói &gt; click Phát hành
3. Click Xác nhận</t>
        </is>
      </c>
      <c r="E33" s="692" t="inlineStr">
        <is>
          <t>2. Hiển thị popup nội dung TH1.3 (không phải TH1.2 dù hiện tại cũng ≥ thời gian bắt đầu)
3. Gói chuyển "Ngừng kinh doanh"</t>
        </is>
      </c>
      <c r="F33" s="690" t="inlineStr">
        <is>
          <t>Bắt đầu = hiện tại + 2 phút, kết thúc = hiện tại + 4 phút</t>
        </is>
      </c>
      <c r="G33" s="693" t="inlineStr">
        <is>
          <t>30/09/2026</t>
        </is>
      </c>
      <c r="H33" s="690" t="n"/>
      <c r="I33" s="690" t="n"/>
      <c r="J33" s="690" t="n"/>
      <c r="K33" s="690" t="n"/>
      <c r="L33" s="690" t="n"/>
      <c r="M33" s="690" t="inlineStr">
        <is>
          <t>UC Ban hành gói cước TH1.2/TH1.3 chồng điều kiện - Kỹ thuật: Bảng quyết định. SRS chưa nêu thứ tự ưu tiên - Cần BA confirm</t>
        </is>
      </c>
    </row>
    <row r="34" ht="96" customHeight="1" s="675">
      <c r="A34" s="691">
        <f>$C$4&amp;"-"&amp;TEXT(COUNTA($D$12:D34),"00")</f>
        <v/>
      </c>
      <c r="B34" s="692" t="inlineStr">
        <is>
          <t>Scheduler với gói Nháp</t>
        </is>
      </c>
      <c r="C34" s="692" t="inlineStr">
        <is>
          <t>Kiểm tra gói Nháp không tự đổi trạng thái khi qua thời gian bắt đầu</t>
        </is>
      </c>
      <c r="D34" s="692" t="inlineStr">
        <is>
          <t>ĐK: Tạo gói Tự động, bắt đầu = hiện tại + 2 phút, KHÔNG phát hành
1. Chờ qua thời gian bắt đầu
2. Tải lại màn Chi tiết gói và danh sách</t>
        </is>
      </c>
      <c r="E34" s="692" t="inlineStr">
        <is>
          <t>2. Gói vẫn ở trạng thái "Nháp", không hiển thị trên kênh bán; button Phát hành vẫn hiển thị</t>
        </is>
      </c>
      <c r="F34" s="690" t="n"/>
      <c r="G34" s="693" t="inlineStr">
        <is>
          <t>30/09/2026</t>
        </is>
      </c>
      <c r="H34" s="690" t="n"/>
      <c r="I34" s="690" t="n"/>
      <c r="J34" s="690" t="n"/>
      <c r="K34" s="690" t="n"/>
      <c r="L34" s="690" t="n"/>
      <c r="M34" s="690" t="inlineStr">
        <is>
          <t>Bảng Trạng thái gói cước STT 3 ghi "Từ Nháp → Đã phát hành tự động chuyển sang KHI hệ thống quét" - chưa rõ hệ thống có quét gói Nháp không - Cần BA confirm</t>
        </is>
      </c>
    </row>
    <row r="35" ht="64" customHeight="1" s="675">
      <c r="A35" s="691">
        <f>$C$4&amp;"-"&amp;TEXT(COUNTA($D$12:D35),"00")</f>
        <v/>
      </c>
      <c r="B35" s="692" t="inlineStr">
        <is>
          <t>Scheduler với gói Đã phát hành</t>
        </is>
      </c>
      <c r="C35" s="692" t="inlineStr">
        <is>
          <t>Kiểm tra gói Đã phát hành khi cả thời gian bắt đầu và kết thúc đều đã qua ở lần quét</t>
        </is>
      </c>
      <c r="D35" s="692" t="inlineStr">
        <is>
          <t>ĐK: Gói Đã phát hành, bắt đầu = hiện tại + 2 phút, kết thúc = hiện tại + 3 phút; job quét bị dừng trong khoảng này
1. Bật lại job quét sau khi đã qua thời gian kết thúc
2. Tải lại màn Chi tiết gói</t>
        </is>
      </c>
      <c r="E35" s="692" t="inlineStr">
        <is>
          <t>2. Gói chuyển thẳng "Ngừng kinh doanh", không dừng ở "Đang kinh doanh"; không hiển thị trên kênh bán</t>
        </is>
      </c>
      <c r="F35" s="690" t="n"/>
      <c r="G35" s="693" t="inlineStr">
        <is>
          <t>30/09/2026</t>
        </is>
      </c>
      <c r="H35" s="690" t="n"/>
      <c r="I35" s="690" t="n"/>
      <c r="J35" s="690" t="n"/>
      <c r="K35" s="690" t="n"/>
      <c r="L35" s="690" t="n"/>
      <c r="M35" s="690" t="inlineStr">
        <is>
          <t>Bảng Trạng thái gói cước STT 4 TH1.3 - Kỹ thuật: Sơ đồ chuyển trạng thái. Cần dev hỗ trợ dừng job quét - Cần BA confirm</t>
        </is>
      </c>
    </row>
    <row r="36" ht="64" customHeight="1" s="675">
      <c r="A36" s="691">
        <f>$C$4&amp;"-"&amp;TEXT(COUNTA($D$12:D36),"00")</f>
        <v/>
      </c>
      <c r="B36" s="692" t="inlineStr">
        <is>
          <t>Múi giờ</t>
        </is>
      </c>
      <c r="C36" s="692" t="inlineStr">
        <is>
          <t>Kiểm tra so sánh thời gian theo giờ server khi giờ máy admin bị lệch</t>
        </is>
      </c>
      <c r="D36" s="692" t="inlineStr">
        <is>
          <t>ĐK: Tự động, bắt đầu = hiện tại (giờ server) + 1 ngày; chỉnh giờ máy admin nhanh hơn 2 ngày
1. Click Phát hành
2. Click Xác nhận</t>
        </is>
      </c>
      <c r="E36" s="692" t="inlineStr">
        <is>
          <t>1. Hiển thị popup nội dung TH1.1 (theo giờ server), không phải TH1.2
2. Gói chuyển "Đã phát hành"</t>
        </is>
      </c>
      <c r="F36" s="690" t="inlineStr">
        <is>
          <t>Giờ máy admin = giờ server + 2 ngày</t>
        </is>
      </c>
      <c r="G36" s="693" t="inlineStr">
        <is>
          <t>30/09/2026</t>
        </is>
      </c>
      <c r="H36" s="690" t="n"/>
      <c r="I36" s="690" t="n"/>
      <c r="J36" s="690" t="n"/>
      <c r="K36" s="690" t="n"/>
      <c r="L36" s="690" t="n"/>
      <c r="M36" s="690" t="inlineStr">
        <is>
          <t>SRS chưa nêu mốc so sánh lấy giờ server hay giờ client - Cần BA confirm - Kỹ thuật: Phân vùng tương đương</t>
        </is>
      </c>
    </row>
    <row r="37" ht="20" customHeight="1" s="675">
      <c r="A37" s="689" t="inlineStr">
        <is>
          <t>Hiển thị trên kênh bán sau khi phát hành</t>
        </is>
      </c>
      <c r="B37" s="679" t="n"/>
      <c r="C37" s="679" t="n"/>
      <c r="D37" s="679" t="n"/>
      <c r="E37" s="679" t="n"/>
      <c r="F37" s="679" t="n"/>
      <c r="G37" s="679" t="n"/>
      <c r="H37" s="679" t="n"/>
      <c r="I37" s="679" t="n"/>
      <c r="J37" s="679" t="n"/>
      <c r="K37" s="680" t="n"/>
      <c r="L37" s="690" t="n"/>
      <c r="M37" s="690" t="n"/>
    </row>
    <row r="38" ht="64" customHeight="1" s="675">
      <c r="A38" s="691">
        <f>$C$4&amp;"-"&amp;TEXT(COUNTA($D$12:D38),"00")</f>
        <v/>
      </c>
      <c r="B38" s="692" t="inlineStr">
        <is>
          <t>Kênh bán</t>
        </is>
      </c>
      <c r="C38" s="692" t="inlineStr">
        <is>
          <t>Kiểm tra gói Đang kinh doanh có kênh bán = Web OA và Miniapp</t>
        </is>
      </c>
      <c r="D38" s="692" t="inlineStr">
        <is>
          <t>ĐK: Gói Thủ công, Đang kinh doanh, Kênh phân phối = Web OA + Miniapp gói cước Tammi
1. Phát hành &gt; Xác nhận
2. Mở tab Gói cước trên Web OA
3. Mở Miniapp gói cước Tammi</t>
        </is>
      </c>
      <c r="E38" s="692" t="inlineStr">
        <is>
          <t>2. Gói hiển thị trên Web OA
3. Loại gói của gói hiển thị trên Miniapp</t>
        </is>
      </c>
      <c r="F38" s="690" t="n"/>
      <c r="G38" s="693" t="inlineStr">
        <is>
          <t>30/09/2026</t>
        </is>
      </c>
      <c r="H38" s="690" t="n"/>
      <c r="I38" s="690" t="n"/>
      <c r="J38" s="690" t="n"/>
      <c r="K38" s="690" t="n"/>
      <c r="L38" s="690" t="n"/>
      <c r="M38" s="690" t="inlineStr">
        <is>
          <t>UC Ban hành gói cước Post-condition 2 - Kỹ thuật: Phân vùng tương đương (kênh bán)</t>
        </is>
      </c>
    </row>
    <row r="39" ht="64" customHeight="1" s="675">
      <c r="A39" s="691">
        <f>$C$4&amp;"-"&amp;TEXT(COUNTA($D$12:D39),"00")</f>
        <v/>
      </c>
      <c r="B39" s="685" t="n"/>
      <c r="C39" s="692" t="inlineStr">
        <is>
          <t>Kiểm tra gói Đang kinh doanh chỉ có kênh bán = Miniapp</t>
        </is>
      </c>
      <c r="D39" s="692" t="inlineStr">
        <is>
          <t>ĐK: Gói Thủ công, Đang kinh doanh, Kênh phân phối = Miniapp gói cước Tammi
1. Phát hành &gt; Xác nhận
2. Mở tab Gói cước trên Web OA
3. Mở Miniapp gói cước Tammi</t>
        </is>
      </c>
      <c r="E39" s="692" t="inlineStr">
        <is>
          <t>2. Gói không hiển thị trên Web OA
3. Loại gói của gói hiển thị trên Miniapp</t>
        </is>
      </c>
      <c r="F39" s="690" t="n"/>
      <c r="G39" s="693" t="inlineStr">
        <is>
          <t>30/09/2026</t>
        </is>
      </c>
      <c r="H39" s="690" t="n"/>
      <c r="I39" s="690" t="n"/>
      <c r="J39" s="690" t="n"/>
      <c r="K39" s="690" t="n"/>
      <c r="L39" s="690" t="n"/>
      <c r="M39" s="690" t="inlineStr">
        <is>
          <t>UC Ban hành gói cước Post-condition 2 - Kỹ thuật: Phân vùng tương đương (kênh bán)</t>
        </is>
      </c>
    </row>
    <row r="40" ht="64" customHeight="1" s="675">
      <c r="A40" s="691">
        <f>$C$4&amp;"-"&amp;TEXT(COUNTA($D$12:D40),"00")</f>
        <v/>
      </c>
      <c r="B40" s="692" t="inlineStr">
        <is>
          <t>Loại hình gói</t>
        </is>
      </c>
      <c r="C40" s="692" t="inlineStr">
        <is>
          <t>Kiểm tra gói chính sau phát hành hiển thị tại khối chọn gói chính trên Web OA</t>
        </is>
      </c>
      <c r="D40" s="692" t="inlineStr">
        <is>
          <t>ĐK: Gói Loại hình = Gói chính, loại dịch vụ = OA, kênh = Web OA, Thủ công, Đang kinh doanh; loại gói Đang hoạt động, áp dụng đúng loại hình/danh mục của OA test
1. Phát hành &gt; Xác nhận
2. Mở tab Gói cước trên Web OA</t>
        </is>
      </c>
      <c r="E40" s="692" t="inlineStr">
        <is>
          <t>2. Gói hiển thị tại khối "Bước 1 - Chọn gói OA chính", chu kỳ của gói có trong nhóm button Chu kỳ thanh toán</t>
        </is>
      </c>
      <c r="F40" s="690" t="n"/>
      <c r="G40" s="693" t="inlineStr">
        <is>
          <t>30/09/2026</t>
        </is>
      </c>
      <c r="H40" s="690" t="n"/>
      <c r="I40" s="690" t="n"/>
      <c r="J40" s="690" t="n"/>
      <c r="K40" s="690" t="n"/>
      <c r="L40" s="690" t="n"/>
      <c r="M40" s="690" t="inlineStr">
        <is>
          <t>Tab Luồng mua gói cước trên web OA - UC Hiển thị gói chính BR2 - Kỹ thuật: Phân vùng tương đương (loại hình gói)</t>
        </is>
      </c>
    </row>
    <row r="41" ht="64" customHeight="1" s="675">
      <c r="A41" s="691">
        <f>$C$4&amp;"-"&amp;TEXT(COUNTA($D$12:D41),"00")</f>
        <v/>
      </c>
      <c r="B41" s="694" t="n"/>
      <c r="C41" s="692" t="inlineStr">
        <is>
          <t>Kiểm tra gói add-on sau phát hành hiển thị tại khối Add-on trên Web OA</t>
        </is>
      </c>
      <c r="D41" s="692" t="inlineStr">
        <is>
          <t>ĐK: Gói Loại hình = Gói add-on, kênh = Web OA, Thủ công, Đang kinh doanh; loại gói Đang hoạt động
1. Phát hành &gt; Xác nhận
2. Mở tab Gói cước trên Web OA</t>
        </is>
      </c>
      <c r="E41" s="692" t="inlineStr">
        <is>
          <t>2. Gói hiển thị tại khối "Bước 2 - Thêm gói Add-on" trong hàng loại gói tương ứng, không hiển thị ở khối gói chính</t>
        </is>
      </c>
      <c r="F41" s="690" t="n"/>
      <c r="G41" s="693" t="inlineStr">
        <is>
          <t>30/09/2026</t>
        </is>
      </c>
      <c r="H41" s="690" t="n"/>
      <c r="I41" s="690" t="n"/>
      <c r="J41" s="690" t="n"/>
      <c r="K41" s="690" t="n"/>
      <c r="L41" s="690" t="n"/>
      <c r="M41" s="690" t="inlineStr">
        <is>
          <t>Tab Luồng mua gói cước trên web OA - UC Hiển thị gói add-on BR2 - Kỹ thuật: Phân vùng tương đương (loại hình gói)</t>
        </is>
      </c>
    </row>
    <row r="42" ht="112" customHeight="1" s="675">
      <c r="A42" s="691">
        <f>$C$4&amp;"-"&amp;TEXT(COUNTA($D$12:D42),"00")</f>
        <v/>
      </c>
      <c r="B42" s="685" t="n"/>
      <c r="C42" s="692" t="inlineStr">
        <is>
          <t>Kiểm tra gói nền sau phát hành không hiển thị trong giao diện mua</t>
        </is>
      </c>
      <c r="D42" s="692" t="inlineStr">
        <is>
          <t>ĐK: Gói Loại hình = Gói nền, kênh = Web OA, Thủ công, Đang kinh doanh
1. Phát hành &gt; Xác nhận
2. Mở tab Gói cước trên Web OA</t>
        </is>
      </c>
      <c r="E42" s="692" t="inlineStr">
        <is>
          <t>1. Phát hành thành công, gói chuyển "Đang kinh doanh"
2. Gói không hiển thị ở khối gói chính lẫn khối Add-on</t>
        </is>
      </c>
      <c r="F42" s="690" t="n"/>
      <c r="G42" s="693" t="inlineStr">
        <is>
          <t>30/09/2026</t>
        </is>
      </c>
      <c r="H42" s="690" t="n"/>
      <c r="I42" s="690" t="n"/>
      <c r="J42" s="690" t="n"/>
      <c r="K42" s="690" t="n"/>
      <c r="L42" s="690" t="n"/>
      <c r="M42" s="690" t="inlineStr">
        <is>
          <t>UC2 dữ liệu cần lưu - plan_role "Nền: mặc định kích hoạt khi khởi tạo tk OA"; BR2 web OA chỉ lấy gói Chính/Add-on. SRS chưa nêu gói nền có cần phát hành / hiển thị ở đâu - Cần BA confirm</t>
        </is>
      </c>
    </row>
    <row r="43" ht="80" customHeight="1" s="675">
      <c r="A43" s="691">
        <f>$C$4&amp;"-"&amp;TEXT(COUNTA($D$12:D43),"00")</f>
        <v/>
      </c>
      <c r="B43" s="692" t="inlineStr">
        <is>
          <t>Điều kiện loại gói</t>
        </is>
      </c>
      <c r="C43" s="692" t="inlineStr">
        <is>
          <t>Kiểm tra gói Đang kinh doanh không hiển thị cho OA không thuộc loại hình áp dụng</t>
        </is>
      </c>
      <c r="D43" s="692" t="inlineStr">
        <is>
          <t>ĐK: Loại gói chỉ áp dụng Loại hình OA = "Doanh nghiệp"; OA test thuộc loại hình khác
1. Phát hành gói (Đang kinh doanh)
2. Đăng nhập Web OA bằng OA test &gt; mở tab Gói cước</t>
        </is>
      </c>
      <c r="E43" s="692" t="inlineStr">
        <is>
          <t>2. Gói không hiển thị với OA này dù đã Đang kinh doanh</t>
        </is>
      </c>
      <c r="F43" s="690" t="n"/>
      <c r="G43" s="693" t="inlineStr">
        <is>
          <t>30/09/2026</t>
        </is>
      </c>
      <c r="H43" s="690" t="n"/>
      <c r="I43" s="690" t="n"/>
      <c r="J43" s="690" t="n"/>
      <c r="K43" s="690" t="n"/>
      <c r="L43" s="690" t="n"/>
      <c r="M43" s="690" t="inlineStr">
        <is>
          <t>Tab Luồng mua gói cước trên web OA - UC Hiển thị gói chính BR2 (điều kiện theo loại gói) - Kỹ thuật: Phân vùng tương đương</t>
        </is>
      </c>
    </row>
    <row r="44" ht="20" customHeight="1" s="675">
      <c r="A44" s="689" t="inlineStr">
        <is>
          <t>Phiên đăng nhập / trình duyệt</t>
        </is>
      </c>
      <c r="B44" s="679" t="n"/>
      <c r="C44" s="679" t="n"/>
      <c r="D44" s="679" t="n"/>
      <c r="E44" s="679" t="n"/>
      <c r="F44" s="679" t="n"/>
      <c r="G44" s="679" t="n"/>
      <c r="H44" s="679" t="n"/>
      <c r="I44" s="679" t="n"/>
      <c r="J44" s="679" t="n"/>
      <c r="K44" s="680" t="n"/>
      <c r="L44" s="690" t="n"/>
      <c r="M44" s="690" t="n"/>
    </row>
    <row r="45" ht="48" customHeight="1" s="675">
      <c r="A45" s="691">
        <f>$C$4&amp;"-"&amp;TEXT(COUNTA($D$12:D45),"00")</f>
        <v/>
      </c>
      <c r="B45" s="692" t="inlineStr">
        <is>
          <t>Phiên đăng nhập</t>
        </is>
      </c>
      <c r="C45" s="692" t="inlineStr">
        <is>
          <t>Kiểm tra click Xác nhận khi phiên đăng nhập đã hết hạn</t>
        </is>
      </c>
      <c r="D45" s="692" t="inlineStr">
        <is>
          <t>ĐK: Mở popup phát hành, để phiên đăng nhập hết hạn (hoặc đăng xuất ở tab khác)
1. Click Xác nhận</t>
        </is>
      </c>
      <c r="E45" s="692" t="inlineStr">
        <is>
          <t>1. 
- Không phát hành, gói giữ "Nháp"
- Điều hướng về màn đăng nhập (hoặc thông báo hết phiên)</t>
        </is>
      </c>
      <c r="F45" s="690" t="n"/>
      <c r="G45" s="693" t="inlineStr">
        <is>
          <t>30/09/2026</t>
        </is>
      </c>
      <c r="H45" s="690" t="n"/>
      <c r="I45" s="690" t="n"/>
      <c r="J45" s="690" t="n"/>
      <c r="K45" s="690" t="n"/>
      <c r="L45" s="690" t="n"/>
      <c r="M45" s="690" t="inlineStr">
        <is>
          <t>NFR 3.1 - SRS chưa mô tả - Cần BA confirm</t>
        </is>
      </c>
    </row>
    <row r="46" ht="48" customHeight="1" s="675">
      <c r="A46" s="691">
        <f>$C$4&amp;"-"&amp;TEXT(COUNTA($D$12:D46),"00")</f>
        <v/>
      </c>
      <c r="B46" s="692" t="inlineStr">
        <is>
          <t>Tải lại trang</t>
        </is>
      </c>
      <c r="C46" s="692" t="inlineStr">
        <is>
          <t>Kiểm tra nhấn F5 khi popup phát hành đang mở</t>
        </is>
      </c>
      <c r="D46" s="692" t="inlineStr">
        <is>
          <t>1. Click Phát hành
2. Nhấn F5</t>
        </is>
      </c>
      <c r="E46" s="692" t="inlineStr">
        <is>
          <t>2. Trang tải lại, popup đóng, gói giữ "Nháp", button Phát hành vẫn hiển thị</t>
        </is>
      </c>
      <c r="F46" s="690" t="n"/>
      <c r="G46" s="693" t="inlineStr">
        <is>
          <t>30/09/2026</t>
        </is>
      </c>
      <c r="H46" s="690" t="n"/>
      <c r="I46" s="690" t="n"/>
      <c r="J46" s="690" t="n"/>
      <c r="K46" s="690" t="n"/>
      <c r="L46" s="690" t="n"/>
      <c r="M46" s="690" t="inlineStr">
        <is>
          <t>UC Ban hành gói cước AF_01 - Kỹ thuật: Sơ đồ chuyển trạng thái (giữ nguyên)</t>
        </is>
      </c>
    </row>
    <row r="47" ht="48" customHeight="1" s="675">
      <c r="A47" s="691">
        <f>$C$4&amp;"-"&amp;TEXT(COUNTA($D$12:D47),"00")</f>
        <v/>
      </c>
      <c r="B47" s="692" t="inlineStr">
        <is>
          <t>Back trình duyệt</t>
        </is>
      </c>
      <c r="C47" s="692" t="inlineStr">
        <is>
          <t>Kiểm tra nhấn Back của trình duyệt khi popup phát hành đang mở</t>
        </is>
      </c>
      <c r="D47" s="692" t="inlineStr">
        <is>
          <t>1. Click Phát hành
2. Nhấn nút Back của trình duyệt</t>
        </is>
      </c>
      <c r="E47" s="692" t="inlineStr">
        <is>
          <t>2. Popup đóng, quay về màn Quản lý gói cước; gói giữ "Nháp"</t>
        </is>
      </c>
      <c r="F47" s="690" t="n"/>
      <c r="G47" s="693" t="inlineStr">
        <is>
          <t>30/09/2026</t>
        </is>
      </c>
      <c r="H47" s="690" t="n"/>
      <c r="I47" s="690" t="n"/>
      <c r="J47" s="690" t="n"/>
      <c r="K47" s="690" t="n"/>
      <c r="L47" s="690" t="n"/>
      <c r="M47" s="690" t="inlineStr">
        <is>
          <t>UC xem chi tiết AF_01 - SRS chưa mô tả khi popup đang mở - Cần BA confirm</t>
        </is>
      </c>
    </row>
    <row r="48" ht="48" customHeight="1" s="675">
      <c r="A48" s="691">
        <f>$C$4&amp;"-"&amp;TEXT(COUNTA($D$12:D48),"00")</f>
        <v/>
      </c>
      <c r="B48" s="692" t="inlineStr">
        <is>
          <t>API phản hồi chậm</t>
        </is>
      </c>
      <c r="C48" s="692" t="inlineStr">
        <is>
          <t>Kiểm tra trạng thái button Xác nhận khi API phát hành phản hồi chậm</t>
        </is>
      </c>
      <c r="D48" s="692" t="inlineStr">
        <is>
          <t>ĐK: Giả lập API phát hành phản hồi sau 5 giây
1. Click Phát hành &gt; Xác nhận
2. Click lại Xác nhận trong lúc chờ</t>
        </is>
      </c>
      <c r="E48" s="692" t="inlineStr">
        <is>
          <t>1. Button Xác nhận hiển thị trạng thái đang xử lý / disable
2. Không gửi thêm yêu cầu; sau khi có phản hồi chỉ hiển thị 1 toast</t>
        </is>
      </c>
      <c r="F48" s="690" t="inlineStr">
        <is>
          <t>Độ trễ API: 5 giây</t>
        </is>
      </c>
      <c r="G48" s="693" t="inlineStr">
        <is>
          <t>30/09/2026</t>
        </is>
      </c>
      <c r="H48" s="690" t="n"/>
      <c r="I48" s="690" t="n"/>
      <c r="J48" s="690" t="n"/>
      <c r="K48" s="690" t="n"/>
      <c r="L48" s="690" t="n"/>
      <c r="M48" s="690" t="inlineStr">
        <is>
          <t>NFR 1.1, 1.3 - SRS chưa mô tả trạng thái loading - Cần BA confirm</t>
        </is>
      </c>
    </row>
    <row r="63" ht="59.25" customHeight="1" s="675"/>
    <row r="133" ht="15.75" customHeight="1" s="675"/>
    <row r="134" ht="15.75" customHeight="1" s="675"/>
    <row r="135" ht="15.75" customHeight="1" s="675"/>
    <row r="136" ht="15.75" customHeight="1" s="675"/>
    <row r="137" ht="15.75" customHeight="1" s="675"/>
    <row r="138" ht="15.75" customHeight="1" s="675"/>
    <row r="139" ht="15.75" customHeight="1" s="675"/>
    <row r="140" ht="15.75" customHeight="1" s="675"/>
    <row r="141" ht="15.75" customHeight="1" s="675"/>
    <row r="142" ht="15.75" customHeight="1" s="675"/>
    <row r="143" ht="15.75" customHeight="1" s="675"/>
    <row r="144" ht="15.75" customHeight="1" s="675"/>
    <row r="145" ht="15.75" customHeight="1" s="675"/>
    <row r="146" ht="15.75" customHeight="1" s="675"/>
    <row r="147" ht="15.75" customHeight="1" s="675"/>
    <row r="148" ht="15.75" customHeight="1" s="675"/>
    <row r="149" ht="15.75" customHeight="1" s="675"/>
    <row r="150" ht="15.75" customHeight="1" s="675"/>
    <row r="151" ht="15.75" customHeight="1" s="675"/>
    <row r="152" ht="15.75" customHeight="1" s="675"/>
    <row r="153" ht="15.75" customHeight="1" s="675"/>
    <row r="154" ht="15.75" customHeight="1" s="675"/>
    <row r="155" ht="15.75" customHeight="1" s="675"/>
    <row r="156" ht="15.75" customHeight="1" s="675"/>
    <row r="157" ht="15.75" customHeight="1" s="675"/>
    <row r="158" ht="15.75" customHeight="1" s="675"/>
    <row r="159" ht="15.75" customHeight="1" s="675"/>
    <row r="160" ht="15.75" customHeight="1" s="675"/>
    <row r="161" ht="15.75" customHeight="1" s="675"/>
    <row r="162" ht="15.75" customHeight="1" s="675"/>
    <row r="163" ht="15.75" customHeight="1" s="675"/>
    <row r="164" ht="15.75" customHeight="1" s="675"/>
    <row r="165" ht="15.75" customHeight="1" s="675"/>
    <row r="166" ht="15.75" customHeight="1" s="675"/>
    <row r="167" ht="15.75" customHeight="1" s="675"/>
    <row r="168" ht="15.75" customHeight="1" s="675"/>
    <row r="169" ht="15.75" customHeight="1" s="675"/>
    <row r="170" ht="15.75" customHeight="1" s="675"/>
    <row r="171" ht="15.75" customHeight="1" s="675"/>
    <row r="172" ht="15.75" customHeight="1" s="675"/>
    <row r="173" ht="15.75" customHeight="1" s="675"/>
    <row r="174" ht="15.75" customHeight="1" s="675"/>
    <row r="175" ht="15.75" customHeight="1" s="675"/>
    <row r="176" ht="15.75" customHeight="1" s="675"/>
    <row r="177" ht="15.75" customHeight="1" s="675"/>
    <row r="178" ht="15.75" customHeight="1" s="675"/>
    <row r="179" ht="15.75" customHeight="1" s="675"/>
    <row r="180" ht="15.75" customHeight="1" s="675"/>
    <row r="181" ht="15.75" customHeight="1" s="675"/>
    <row r="182" ht="15.75" customHeight="1" s="675"/>
    <row r="183" ht="15.75" customHeight="1" s="675"/>
    <row r="184" ht="15.75" customHeight="1" s="675"/>
    <row r="185" ht="15.75" customHeight="1" s="675"/>
    <row r="186" ht="15.75" customHeight="1" s="675"/>
    <row r="187" ht="15.75" customHeight="1" s="675"/>
    <row r="188" ht="15.75" customHeight="1" s="675"/>
    <row r="189" ht="15.75" customHeight="1" s="675"/>
    <row r="190" ht="15.75" customHeight="1" s="675"/>
    <row r="191" ht="15.75" customHeight="1" s="675"/>
    <row r="192" ht="15.75" customHeight="1" s="675"/>
    <row r="193" ht="15.75" customHeight="1" s="675"/>
    <row r="194" ht="15.75" customHeight="1" s="675"/>
    <row r="195" ht="15.75" customHeight="1" s="675"/>
    <row r="196" ht="15.75" customHeight="1" s="675"/>
    <row r="197" ht="15.75" customHeight="1" s="675"/>
    <row r="198" ht="15.75" customHeight="1" s="675"/>
    <row r="199" ht="15.75" customHeight="1" s="675"/>
    <row r="200" ht="15.75" customHeight="1" s="675"/>
    <row r="201" ht="15.75" customHeight="1" s="675"/>
    <row r="202" ht="15.75" customHeight="1" s="675"/>
    <row r="203" ht="15.75" customHeight="1" s="675"/>
    <row r="204" ht="15.75" customHeight="1" s="675"/>
    <row r="205" ht="15.75" customHeight="1" s="675"/>
    <row r="206" ht="15.75" customHeight="1" s="675"/>
    <row r="207" ht="15.75" customHeight="1" s="675"/>
    <row r="208" ht="15.75" customHeight="1" s="675"/>
    <row r="209" ht="15.75" customHeight="1" s="675"/>
    <row r="210" ht="15.75" customHeight="1" s="675"/>
    <row r="211" ht="15.75" customHeight="1" s="675"/>
    <row r="212" ht="15.75" customHeight="1" s="675"/>
    <row r="213" ht="15.75" customHeight="1" s="675"/>
    <row r="214" ht="15.75" customHeight="1" s="675"/>
    <row r="215" ht="15.75" customHeight="1" s="675"/>
    <row r="216" ht="15.75" customHeight="1" s="675"/>
    <row r="217" ht="15.75" customHeight="1" s="675"/>
    <row r="218" ht="15.75" customHeight="1" s="675"/>
    <row r="219" ht="15.75" customHeight="1" s="675"/>
    <row r="220" ht="15.75" customHeight="1" s="675"/>
    <row r="221" ht="15.75" customHeight="1" s="675"/>
    <row r="222" ht="15.75" customHeight="1" s="675"/>
    <row r="223" ht="15.75" customHeight="1" s="675"/>
    <row r="224" ht="15.75" customHeight="1" s="675"/>
    <row r="225" ht="15.75" customHeight="1" s="675"/>
    <row r="226" ht="15.75" customHeight="1" s="675"/>
    <row r="227" ht="15.75" customHeight="1" s="675"/>
    <row r="228" ht="15.75" customHeight="1" s="675"/>
    <row r="229" ht="15.75" customHeight="1" s="675"/>
    <row r="230" ht="15.75" customHeight="1" s="675"/>
    <row r="231" ht="15.75" customHeight="1" s="675"/>
    <row r="232" ht="15.75" customHeight="1" s="675"/>
    <row r="233" ht="15.75" customHeight="1" s="675"/>
    <row r="234" ht="15.75" customHeight="1" s="675"/>
    <row r="235" ht="15.75" customHeight="1" s="675"/>
    <row r="236" ht="15.75" customHeight="1" s="675"/>
    <row r="237" ht="15.75" customHeight="1" s="675"/>
    <row r="238" ht="15.75" customHeight="1" s="675"/>
    <row r="239" ht="15.75" customHeight="1" s="675"/>
    <row r="240" ht="15.75" customHeight="1" s="675"/>
    <row r="241" ht="15.75" customHeight="1" s="675"/>
    <row r="242" ht="15.75" customHeight="1" s="675"/>
    <row r="243" ht="15.75" customHeight="1" s="675"/>
    <row r="244" ht="15.75" customHeight="1" s="675"/>
    <row r="245" ht="15.75" customHeight="1" s="675"/>
    <row r="246" ht="15.75" customHeight="1" s="675"/>
    <row r="247" ht="15.75" customHeight="1" s="675"/>
    <row r="248" ht="15.75" customHeight="1" s="675"/>
    <row r="249" ht="15.75" customHeight="1" s="675"/>
    <row r="250" ht="15.75" customHeight="1" s="675"/>
    <row r="251" ht="15.75" customHeight="1" s="675"/>
    <row r="252" ht="15.75" customHeight="1" s="675"/>
    <row r="253" ht="15.75" customHeight="1" s="675"/>
    <row r="254" ht="15.75" customHeight="1" s="675"/>
    <row r="255" ht="15.75" customHeight="1" s="675"/>
    <row r="256" ht="15.75" customHeight="1" s="675"/>
    <row r="257" ht="15.75" customHeight="1" s="675"/>
    <row r="258" ht="15.75" customHeight="1" s="675"/>
    <row r="259" ht="15.75" customHeight="1" s="675"/>
    <row r="260" ht="15.75" customHeight="1" s="675"/>
    <row r="261" ht="15.75" customHeight="1" s="675"/>
    <row r="262" ht="15.75" customHeight="1" s="675"/>
    <row r="263" ht="15.75" customHeight="1" s="675"/>
    <row r="264" ht="15.75" customHeight="1" s="675"/>
    <row r="265" ht="15.75" customHeight="1" s="675"/>
    <row r="266" ht="15.75" customHeight="1" s="675"/>
    <row r="267" ht="15.75" customHeight="1" s="675"/>
    <row r="268" ht="15.75" customHeight="1" s="675"/>
    <row r="269" ht="15.75" customHeight="1" s="675"/>
    <row r="270" ht="15.75" customHeight="1" s="675"/>
    <row r="271" ht="15.75" customHeight="1" s="675"/>
    <row r="272" ht="15.75" customHeight="1" s="675"/>
    <row r="273" ht="15.75" customHeight="1" s="675"/>
    <row r="274" ht="15.75" customHeight="1" s="675"/>
    <row r="275" ht="15.75" customHeight="1" s="675"/>
    <row r="276" ht="15.75" customHeight="1" s="675"/>
    <row r="277" ht="15.75" customHeight="1" s="675"/>
    <row r="278" ht="15.75" customHeight="1" s="675"/>
    <row r="279" ht="15.75" customHeight="1" s="675"/>
    <row r="280" ht="15.75" customHeight="1" s="675"/>
    <row r="281" ht="15.75" customHeight="1" s="675"/>
    <row r="282" ht="15.75" customHeight="1" s="675"/>
    <row r="283" ht="15.75" customHeight="1" s="675"/>
    <row r="284" ht="15.75" customHeight="1" s="675"/>
    <row r="285" ht="15.75" customHeight="1" s="675"/>
    <row r="286" ht="15.75" customHeight="1" s="675"/>
    <row r="287" ht="15.75" customHeight="1" s="675"/>
    <row r="288" ht="15.75" customHeight="1" s="675"/>
    <row r="289" ht="15.75" customHeight="1" s="675"/>
    <row r="290" ht="15.75" customHeight="1" s="675"/>
    <row r="291" ht="15.75" customHeight="1" s="675"/>
    <row r="292" ht="15.75" customHeight="1" s="675"/>
    <row r="293" ht="15.75" customHeight="1" s="675"/>
    <row r="294" ht="15.75" customHeight="1" s="675"/>
    <row r="295" ht="15.75" customHeight="1" s="675"/>
    <row r="296" ht="15.75" customHeight="1" s="675"/>
    <row r="297" ht="15.75" customHeight="1" s="675"/>
    <row r="298" ht="15.75" customHeight="1" s="675"/>
    <row r="299" ht="15.75" customHeight="1" s="675"/>
    <row r="300" ht="15.75" customHeight="1" s="675"/>
    <row r="301" ht="15.75" customHeight="1" s="675"/>
    <row r="302" ht="15.75" customHeight="1" s="675"/>
    <row r="303" ht="15.75" customHeight="1" s="675"/>
    <row r="304" ht="15.75" customHeight="1" s="675"/>
    <row r="305" ht="15.75" customHeight="1" s="675"/>
    <row r="306" ht="15.75" customHeight="1" s="675"/>
    <row r="307" ht="15.75" customHeight="1" s="675"/>
    <row r="308" ht="15.75" customHeight="1" s="675"/>
    <row r="309" ht="15.75" customHeight="1" s="675"/>
    <row r="310" ht="15.75" customHeight="1" s="675"/>
    <row r="311" ht="15.75" customHeight="1" s="675"/>
    <row r="312" ht="15.75" customHeight="1" s="675"/>
    <row r="313" ht="15.75" customHeight="1" s="675"/>
    <row r="314" ht="15.75" customHeight="1" s="675"/>
    <row r="315" ht="15.75" customHeight="1" s="675"/>
    <row r="316" ht="15.75" customHeight="1" s="675"/>
    <row r="317" ht="15.75" customHeight="1" s="675"/>
    <row r="318" ht="15.75" customHeight="1" s="675"/>
    <row r="319" ht="15.75" customHeight="1" s="675"/>
    <row r="320" ht="15.75" customHeight="1" s="675"/>
    <row r="321" ht="15.75" customHeight="1" s="675"/>
    <row r="322" ht="15.75" customHeight="1" s="675"/>
    <row r="323" ht="15.75" customHeight="1" s="675"/>
    <row r="324" ht="15.75" customHeight="1" s="675"/>
    <row r="325" ht="15.75" customHeight="1" s="675"/>
    <row r="326" ht="15.75" customHeight="1" s="675"/>
    <row r="327" ht="15.75" customHeight="1" s="675"/>
    <row r="328" ht="15.75" customHeight="1" s="675"/>
    <row r="329" ht="15.75" customHeight="1" s="675"/>
    <row r="330" ht="15.75" customHeight="1" s="675"/>
    <row r="331" ht="15.75" customHeight="1" s="675"/>
    <row r="332" ht="15.75" customHeight="1" s="675"/>
    <row r="333" ht="15.75" customHeight="1" s="675"/>
    <row r="334" ht="15.75" customHeight="1" s="675"/>
    <row r="335" ht="15.75" customHeight="1" s="675"/>
    <row r="336" ht="15.75" customHeight="1" s="675"/>
    <row r="337" ht="15.75" customHeight="1" s="675"/>
    <row r="338" ht="15.75" customHeight="1" s="675"/>
    <row r="339" ht="15.75" customHeight="1" s="675"/>
    <row r="340" ht="15.75" customHeight="1" s="675"/>
    <row r="341" ht="15.75" customHeight="1" s="675"/>
    <row r="342" ht="15.75" customHeight="1" s="675"/>
    <row r="343" ht="15.75" customHeight="1" s="675"/>
    <row r="344" ht="15.75" customHeight="1" s="675"/>
    <row r="345" ht="15.75" customHeight="1" s="675"/>
    <row r="346" ht="15.75" customHeight="1" s="675"/>
    <row r="347" ht="15.75" customHeight="1" s="675"/>
    <row r="348" ht="15.75" customHeight="1" s="675"/>
    <row r="349" ht="15.75" customHeight="1" s="675"/>
    <row r="350" ht="15.75" customHeight="1" s="675"/>
    <row r="351" ht="15.75" customHeight="1" s="675"/>
    <row r="352" ht="15.75" customHeight="1" s="675"/>
    <row r="353" ht="15.75" customHeight="1" s="675"/>
    <row r="354" ht="15.75" customHeight="1" s="675"/>
    <row r="355" ht="15.75" customHeight="1" s="675"/>
    <row r="356" ht="15.75" customHeight="1" s="675"/>
    <row r="357" ht="15.75" customHeight="1" s="675"/>
    <row r="358" ht="15.75" customHeight="1" s="675"/>
    <row r="359" ht="15.75" customHeight="1" s="675"/>
    <row r="360" ht="15.75" customHeight="1" s="675"/>
    <row r="361" ht="15.75" customHeight="1" s="675"/>
    <row r="362" ht="15.75" customHeight="1" s="675"/>
    <row r="363" ht="15.75" customHeight="1" s="675"/>
    <row r="364" ht="15.75" customHeight="1" s="675"/>
    <row r="365" ht="15.75" customHeight="1" s="675"/>
    <row r="366" ht="15.75" customHeight="1" s="675"/>
    <row r="367" ht="15.75" customHeight="1" s="675"/>
    <row r="368" ht="15.75" customHeight="1" s="675"/>
    <row r="369" ht="15.75" customHeight="1" s="675"/>
    <row r="370" ht="15.75" customHeight="1" s="675"/>
    <row r="371" ht="15.75" customHeight="1" s="675"/>
    <row r="372" ht="15.75" customHeight="1" s="675"/>
    <row r="373" ht="15.75" customHeight="1" s="675"/>
    <row r="374" ht="15.75" customHeight="1" s="675"/>
    <row r="375" ht="15.75" customHeight="1" s="675"/>
    <row r="376" ht="15.75" customHeight="1" s="675"/>
    <row r="377" ht="15.75" customHeight="1" s="675"/>
    <row r="378" ht="15.75" customHeight="1" s="675"/>
    <row r="379" ht="15.75" customHeight="1" s="675"/>
    <row r="380" ht="15.75" customHeight="1" s="675"/>
    <row r="381" ht="15.75" customHeight="1" s="675"/>
    <row r="382" ht="15.75" customHeight="1" s="675"/>
    <row r="383" ht="15.75" customHeight="1" s="675"/>
    <row r="384" ht="15.75" customHeight="1" s="675"/>
    <row r="385" ht="15.75" customHeight="1" s="675"/>
    <row r="386" ht="15.75" customHeight="1" s="675"/>
    <row r="387" ht="15.75" customHeight="1" s="675"/>
    <row r="388" ht="15.75" customHeight="1" s="675"/>
    <row r="389" ht="15.75" customHeight="1" s="675"/>
    <row r="390" ht="15.75" customHeight="1" s="675"/>
    <row r="391" ht="15.75" customHeight="1" s="675"/>
    <row r="392" ht="15.75" customHeight="1" s="675"/>
    <row r="393" ht="15.75" customHeight="1" s="675"/>
    <row r="394" ht="15.75" customHeight="1" s="675"/>
    <row r="395" ht="15.75" customHeight="1" s="675"/>
    <row r="396" ht="15.75" customHeight="1" s="675"/>
    <row r="397" ht="15.75" customHeight="1" s="675"/>
    <row r="398" ht="15.75" customHeight="1" s="675"/>
    <row r="399" ht="15.75" customHeight="1" s="675"/>
    <row r="400" ht="15.75" customHeight="1" s="675"/>
    <row r="401" ht="15.75" customHeight="1" s="675"/>
    <row r="402" ht="15.75" customHeight="1" s="675"/>
    <row r="403" ht="15.75" customHeight="1" s="675"/>
    <row r="404" ht="15.75" customHeight="1" s="675"/>
    <row r="405" ht="15.75" customHeight="1" s="675"/>
    <row r="406" ht="15.75" customHeight="1" s="675"/>
    <row r="407" ht="15.75" customHeight="1" s="675"/>
    <row r="408" ht="15.75" customHeight="1" s="675"/>
    <row r="409" ht="15.75" customHeight="1" s="675"/>
    <row r="410" ht="15.75" customHeight="1" s="675"/>
    <row r="411" ht="15.75" customHeight="1" s="675"/>
    <row r="412" ht="15.75" customHeight="1" s="675"/>
    <row r="413" ht="15.75" customHeight="1" s="675"/>
    <row r="414" ht="15.75" customHeight="1" s="675"/>
    <row r="415" ht="15.75" customHeight="1" s="675"/>
    <row r="416" ht="15.75" customHeight="1" s="675"/>
    <row r="417" ht="15.75" customHeight="1" s="675"/>
    <row r="418" ht="15.75" customHeight="1" s="675"/>
    <row r="419" ht="15.75" customHeight="1" s="675"/>
    <row r="420" ht="15.75" customHeight="1" s="675"/>
    <row r="421" ht="15.75" customHeight="1" s="675"/>
    <row r="422" ht="15.75" customHeight="1" s="675"/>
    <row r="423" ht="15.75" customHeight="1" s="675"/>
    <row r="424" ht="15.75" customHeight="1" s="675"/>
    <row r="425" ht="15.75" customHeight="1" s="675"/>
    <row r="426" ht="15.75" customHeight="1" s="675"/>
    <row r="427" ht="15.75" customHeight="1" s="675"/>
    <row r="428" ht="15.75" customHeight="1" s="675"/>
    <row r="429" ht="15.75" customHeight="1" s="675"/>
    <row r="430" ht="15.75" customHeight="1" s="675"/>
    <row r="431" ht="15.75" customHeight="1" s="675"/>
    <row r="432" ht="15.75" customHeight="1" s="675"/>
    <row r="433" ht="15.75" customHeight="1" s="675"/>
    <row r="434" ht="15.75" customHeight="1" s="675"/>
    <row r="435" ht="15.75" customHeight="1" s="675"/>
    <row r="436" ht="15.75" customHeight="1" s="675"/>
    <row r="437" ht="15.75" customHeight="1" s="675"/>
    <row r="438" ht="15.75" customHeight="1" s="675"/>
    <row r="439" ht="15.75" customHeight="1" s="675"/>
    <row r="440" ht="15.75" customHeight="1" s="675"/>
    <row r="441" ht="15.75" customHeight="1" s="675"/>
    <row r="442" ht="15.75" customHeight="1" s="675"/>
    <row r="443" ht="15.75" customHeight="1" s="675"/>
    <row r="444" ht="15.75" customHeight="1" s="675"/>
    <row r="445" ht="15.75" customHeight="1" s="675"/>
    <row r="446" ht="15.75" customHeight="1" s="675"/>
    <row r="447" ht="15.75" customHeight="1" s="675"/>
    <row r="448" ht="15.75" customHeight="1" s="675"/>
    <row r="449" ht="15.75" customHeight="1" s="675"/>
    <row r="450" ht="15.75" customHeight="1" s="675"/>
    <row r="451" ht="15.75" customHeight="1" s="675"/>
    <row r="452" ht="15.75" customHeight="1" s="675"/>
    <row r="453" ht="15.75" customHeight="1" s="675"/>
    <row r="454" ht="15.75" customHeight="1" s="675"/>
    <row r="455" ht="15.75" customHeight="1" s="675"/>
    <row r="456" ht="15.75" customHeight="1" s="675"/>
    <row r="457" ht="15.75" customHeight="1" s="675"/>
    <row r="458" ht="15.75" customHeight="1" s="675"/>
    <row r="459" ht="15.75" customHeight="1" s="675"/>
    <row r="460" ht="15.75" customHeight="1" s="675"/>
    <row r="461" ht="15.75" customHeight="1" s="675"/>
    <row r="462" ht="15.75" customHeight="1" s="675"/>
    <row r="463" ht="15.75" customHeight="1" s="675"/>
    <row r="464" ht="15.75" customHeight="1" s="675"/>
    <row r="465" ht="15.75" customHeight="1" s="675"/>
    <row r="466" ht="15.75" customHeight="1" s="675"/>
    <row r="467" ht="15.75" customHeight="1" s="675"/>
    <row r="468" ht="15.75" customHeight="1" s="675"/>
    <row r="469" ht="15.75" customHeight="1" s="675"/>
    <row r="470" ht="15.75" customHeight="1" s="675"/>
    <row r="471" ht="15.75" customHeight="1" s="675"/>
    <row r="472" ht="15.75" customHeight="1" s="675"/>
    <row r="473" ht="15.75" customHeight="1" s="675"/>
    <row r="474" ht="15.75" customHeight="1" s="675"/>
    <row r="475" ht="15.75" customHeight="1" s="675"/>
    <row r="476" ht="15.75" customHeight="1" s="675"/>
    <row r="477" ht="15.75" customHeight="1" s="675"/>
    <row r="478" ht="15.75" customHeight="1" s="675"/>
    <row r="479" ht="15.75" customHeight="1" s="675"/>
    <row r="480" ht="15.75" customHeight="1" s="675"/>
    <row r="481" ht="15.75" customHeight="1" s="675"/>
    <row r="482" ht="15.75" customHeight="1" s="675"/>
    <row r="483" ht="15.75" customHeight="1" s="675"/>
    <row r="484" ht="15.75" customHeight="1" s="675"/>
    <row r="485" ht="15.75" customHeight="1" s="675"/>
    <row r="486" ht="15.75" customHeight="1" s="675"/>
    <row r="487" ht="15.75" customHeight="1" s="675"/>
    <row r="488" ht="15.75" customHeight="1" s="675"/>
    <row r="489" ht="15.75" customHeight="1" s="675"/>
    <row r="490" ht="15.75" customHeight="1" s="675"/>
    <row r="491" ht="15.75" customHeight="1" s="675"/>
    <row r="492" ht="15.75" customHeight="1" s="675"/>
    <row r="493" ht="15.75" customHeight="1" s="675"/>
    <row r="494" ht="15.75" customHeight="1" s="675"/>
    <row r="495" ht="15.75" customHeight="1" s="675"/>
    <row r="496" ht="15.75" customHeight="1" s="675"/>
    <row r="497" ht="15.75" customHeight="1" s="675"/>
    <row r="498" ht="15.75" customHeight="1" s="675"/>
    <row r="499" ht="15.75" customHeight="1" s="675"/>
    <row r="500" ht="15.75" customHeight="1" s="675"/>
    <row r="501" ht="15.75" customHeight="1" s="675"/>
    <row r="502" ht="15.75" customHeight="1" s="675"/>
    <row r="503" ht="15.75" customHeight="1" s="675"/>
    <row r="504" ht="15.75" customHeight="1" s="675"/>
    <row r="505" ht="15.75" customHeight="1" s="675"/>
    <row r="506" ht="15.75" customHeight="1" s="675"/>
    <row r="507" ht="15.75" customHeight="1" s="675"/>
    <row r="508" ht="15.75" customHeight="1" s="675"/>
    <row r="509" ht="15.75" customHeight="1" s="675"/>
    <row r="510" ht="15.75" customHeight="1" s="675"/>
    <row r="511" ht="15.75" customHeight="1" s="675"/>
    <row r="512" ht="15.75" customHeight="1" s="675"/>
    <row r="513" ht="15.75" customHeight="1" s="675"/>
    <row r="514" ht="15.75" customHeight="1" s="675"/>
    <row r="515" ht="15.75" customHeight="1" s="675"/>
    <row r="516" ht="15.75" customHeight="1" s="675"/>
    <row r="517" ht="15.75" customHeight="1" s="675"/>
    <row r="518" ht="15.75" customHeight="1" s="675"/>
    <row r="519" ht="15.75" customHeight="1" s="675"/>
    <row r="520" ht="15.75" customHeight="1" s="675"/>
    <row r="521" ht="15.75" customHeight="1" s="675"/>
    <row r="522" ht="15.75" customHeight="1" s="675"/>
    <row r="523" ht="15.75" customHeight="1" s="675"/>
    <row r="524" ht="15.75" customHeight="1" s="675"/>
    <row r="525" ht="15.75" customHeight="1" s="675"/>
    <row r="526" ht="15.75" customHeight="1" s="675"/>
    <row r="527" ht="15.75" customHeight="1" s="675"/>
    <row r="528" ht="15.75" customHeight="1" s="675"/>
    <row r="529" ht="15.75" customHeight="1" s="675"/>
    <row r="530" ht="15.75" customHeight="1" s="675"/>
    <row r="531" ht="15.75" customHeight="1" s="675"/>
    <row r="532" ht="15.75" customHeight="1" s="675"/>
    <row r="533" ht="15.75" customHeight="1" s="675"/>
    <row r="534" ht="15.75" customHeight="1" s="675"/>
    <row r="535" ht="15.75" customHeight="1" s="675"/>
    <row r="536" ht="15.75" customHeight="1" s="675"/>
    <row r="537" ht="15.75" customHeight="1" s="675"/>
    <row r="538" ht="15.75" customHeight="1" s="675"/>
    <row r="539" ht="15.75" customHeight="1" s="675"/>
    <row r="540" ht="15.75" customHeight="1" s="675"/>
    <row r="541" ht="15.75" customHeight="1" s="675"/>
    <row r="542" ht="15.75" customHeight="1" s="675"/>
    <row r="543" ht="15.75" customHeight="1" s="675"/>
    <row r="544" ht="15.75" customHeight="1" s="675"/>
    <row r="545" ht="15.75" customHeight="1" s="675"/>
  </sheetData>
  <mergeCells count="34">
    <mergeCell ref="C10:C11"/>
    <mergeCell ref="E10:E11"/>
    <mergeCell ref="G10:G11"/>
    <mergeCell ref="A13:M13"/>
    <mergeCell ref="A7:B7"/>
    <mergeCell ref="C1:M1"/>
    <mergeCell ref="B28:B29"/>
    <mergeCell ref="B15:B16"/>
    <mergeCell ref="D10:D11"/>
    <mergeCell ref="A9:B9"/>
    <mergeCell ref="H10:H11"/>
    <mergeCell ref="J10:J11"/>
    <mergeCell ref="A12:C12"/>
    <mergeCell ref="M10:M11"/>
    <mergeCell ref="B18:B23"/>
    <mergeCell ref="A10:A11"/>
    <mergeCell ref="A8:B8"/>
    <mergeCell ref="F10:F11"/>
    <mergeCell ref="B40:B42"/>
    <mergeCell ref="A1:B1"/>
    <mergeCell ref="A3:B3"/>
    <mergeCell ref="A37:K37"/>
    <mergeCell ref="A5:B5"/>
    <mergeCell ref="A14:K14"/>
    <mergeCell ref="I10:I11"/>
    <mergeCell ref="K10:K11"/>
    <mergeCell ref="B38:B39"/>
    <mergeCell ref="A6:B6"/>
    <mergeCell ref="A25:K25"/>
    <mergeCell ref="B10:B11"/>
    <mergeCell ref="L10:L11"/>
    <mergeCell ref="A2:B2"/>
    <mergeCell ref="A44:K44"/>
    <mergeCell ref="A31:K31"/>
  </mergeCells>
  <conditionalFormatting sqref="K101 K136:K141 K162:K167 K177">
    <cfRule type="containsText" priority="1" operator="containsText" dxfId="0" text="P">
      <formula>NOT(ISERROR(SEARCH(("P"),(K101))))</formula>
    </cfRule>
    <cfRule type="containsText" priority="2" operator="containsText" dxfId="1" text="F">
      <formula>NOT(ISERROR(SEARCH(("F"),(K101))))</formula>
    </cfRule>
  </conditionalFormatting>
  <dataValidations count="1">
    <dataValidation sqref="K15:K48" showDropDown="0" showInputMessage="0" showErrorMessage="0" allowBlank="1" type="list">
      <formula1>"Pass,Fail,Pending,N/A"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style="675" min="1" max="1"/>
    <col width="22" customWidth="1" style="675" min="2" max="2"/>
    <col width="22" customWidth="1" style="675" min="3" max="3"/>
    <col width="22" customWidth="1" style="675" min="4" max="4"/>
    <col width="22" customWidth="1" style="675" min="5" max="5"/>
  </cols>
  <sheetData>
    <row r="1">
      <c r="A1" s="695" t="inlineStr">
        <is>
          <t>1. BẢNG QUYẾT ĐỊNH - Cụm button thanh tiêu đề theo trạng thái (Figma đối chiếu SRS)</t>
        </is>
      </c>
    </row>
    <row r="3" ht="45" customHeight="1" s="675">
      <c r="A3" s="696" t="inlineStr">
        <is>
          <t>Button / Trạng thái</t>
        </is>
      </c>
      <c r="B3" s="696" t="inlineStr">
        <is>
          <t>Nháp</t>
        </is>
      </c>
      <c r="C3" s="696" t="inlineStr">
        <is>
          <t>Đã phát hành</t>
        </is>
      </c>
      <c r="D3" s="696" t="inlineStr">
        <is>
          <t>Đang kinh doanh</t>
        </is>
      </c>
      <c r="E3" s="696" t="inlineStr">
        <is>
          <t>Nguồn</t>
        </is>
      </c>
    </row>
    <row r="4" ht="32" customHeight="1" s="675">
      <c r="A4" s="697" t="inlineStr">
        <is>
          <t>Phát hành</t>
        </is>
      </c>
      <c r="B4" s="697" t="inlineStr">
        <is>
          <t>Hiện (nền đen)</t>
        </is>
      </c>
      <c r="C4" s="697" t="inlineStr">
        <is>
          <t>Ẩn</t>
        </is>
      </c>
      <c r="D4" s="697" t="inlineStr">
        <is>
          <t>Ẩn</t>
        </is>
      </c>
      <c r="E4" s="697" t="inlineStr">
        <is>
          <t>SRS BR_01 + Figma</t>
        </is>
      </c>
    </row>
    <row r="5" ht="32" customHeight="1" s="675">
      <c r="A5" s="697" t="inlineStr">
        <is>
          <t>Nhân bản gói</t>
        </is>
      </c>
      <c r="B5" s="697" t="inlineStr">
        <is>
          <t>Hiện</t>
        </is>
      </c>
      <c r="C5" s="697" t="inlineStr">
        <is>
          <t>Ẩn</t>
        </is>
      </c>
      <c r="D5" s="697" t="inlineStr">
        <is>
          <t>Ẩn</t>
        </is>
      </c>
      <c r="E5" s="697" t="inlineStr">
        <is>
          <t>Chỉ có trên Figma - BA confirm</t>
        </is>
      </c>
    </row>
    <row r="6" ht="32" customHeight="1" s="675">
      <c r="A6" s="697" t="inlineStr">
        <is>
          <t>Chỉnh sửa</t>
        </is>
      </c>
      <c r="B6" s="697" t="inlineStr">
        <is>
          <t>Hiện</t>
        </is>
      </c>
      <c r="C6" s="697" t="inlineStr">
        <is>
          <t>Hiện</t>
        </is>
      </c>
      <c r="D6" s="697" t="inlineStr">
        <is>
          <t>Hiện</t>
        </is>
      </c>
      <c r="E6" s="697" t="inlineStr">
        <is>
          <t>SRS + Figma</t>
        </is>
      </c>
    </row>
    <row r="7" ht="32" customHeight="1" s="675">
      <c r="A7" s="697" t="inlineStr">
        <is>
          <t>Xóa</t>
        </is>
      </c>
      <c r="B7" s="697" t="inlineStr">
        <is>
          <t>Hiện (nền đỏ)</t>
        </is>
      </c>
      <c r="C7" s="697" t="inlineStr">
        <is>
          <t>Hiện</t>
        </is>
      </c>
      <c r="D7" s="697" t="inlineStr">
        <is>
          <t>Hiện</t>
        </is>
      </c>
      <c r="E7" s="697" t="inlineStr">
        <is>
          <t>SRS "enable tất cả trạng thái" ≠ bảng trạng thái "Đang KD không được xoá"</t>
        </is>
      </c>
    </row>
    <row r="10">
      <c r="A10" s="695" t="inlineStr">
        <is>
          <t>2. SƠ ĐỒ CHUYỂN TRẠNG THÁI - Vòng lặp "Sửa ..." từ popup</t>
        </is>
      </c>
    </row>
    <row r="12" ht="45" customHeight="1" s="675">
      <c r="A12" s="696" t="inlineStr">
        <is>
          <t>Popup ban đầu</t>
        </is>
      </c>
      <c r="B12" s="696" t="inlineStr">
        <is>
          <t>Button phụ</t>
        </is>
      </c>
      <c r="C12" s="696" t="inlineStr">
        <is>
          <t>Sửa tại màn Chỉnh sửa</t>
        </is>
      </c>
      <c r="D12" s="696" t="inlineStr">
        <is>
          <t>Popup khi phát hành lại</t>
        </is>
      </c>
      <c r="E12" s="696" t="inlineStr">
        <is>
          <t>Trạng thái sau Xác nhận</t>
        </is>
      </c>
    </row>
    <row r="13" ht="32" customHeight="1" s="675">
      <c r="A13" s="697" t="inlineStr">
        <is>
          <t>TH1.2</t>
        </is>
      </c>
      <c r="B13" s="697" t="inlineStr">
        <is>
          <t>Sửa ngày bắt đầu</t>
        </is>
      </c>
      <c r="C13" s="697" t="inlineStr">
        <is>
          <t>Bắt đầu = hiện tại + 1 ngày</t>
        </is>
      </c>
      <c r="D13" s="697" t="inlineStr">
        <is>
          <t>TH1.1</t>
        </is>
      </c>
      <c r="E13" s="697" t="inlineStr">
        <is>
          <t>Đã phát hành</t>
        </is>
      </c>
    </row>
    <row r="14" ht="32" customHeight="1" s="675">
      <c r="A14" s="697" t="inlineStr">
        <is>
          <t>TH1.3</t>
        </is>
      </c>
      <c r="B14" s="697" t="inlineStr">
        <is>
          <t>Sửa ngày kết thúc</t>
        </is>
      </c>
      <c r="C14" s="697" t="inlineStr">
        <is>
          <t>Kết thúc = hiện tại + 30 ngày</t>
        </is>
      </c>
      <c r="D14" s="697" t="inlineStr">
        <is>
          <t>TH1.2</t>
        </is>
      </c>
      <c r="E14" s="697" t="inlineStr">
        <is>
          <t>Đang kinh doanh</t>
        </is>
      </c>
    </row>
    <row r="15" ht="32" customHeight="1" s="675">
      <c r="A15" s="697" t="inlineStr">
        <is>
          <t>Th2.2</t>
        </is>
      </c>
      <c r="B15" s="697" t="inlineStr">
        <is>
          <t>Sửa trạng thái kinh doanh</t>
        </is>
      </c>
      <c r="C15" s="697" t="inlineStr">
        <is>
          <t>Trạng thái KD = Đang KD</t>
        </is>
      </c>
      <c r="D15" s="697" t="inlineStr">
        <is>
          <t>Th2.1</t>
        </is>
      </c>
      <c r="E15" s="697" t="inlineStr">
        <is>
          <t>Đang kinh doanh</t>
        </is>
      </c>
    </row>
    <row r="16" ht="32" customHeight="1" s="675">
      <c r="A16" s="697" t="inlineStr">
        <is>
          <t>Th2.1</t>
        </is>
      </c>
      <c r="B16" s="697" t="inlineStr">
        <is>
          <t>Sửa trạng thái kinh doanh</t>
        </is>
      </c>
      <c r="C16" s="697" t="inlineStr">
        <is>
          <t>Đổi sang Tự động, bắt đầu tương lai</t>
        </is>
      </c>
      <c r="D16" s="697" t="inlineStr">
        <is>
          <t>TH1.1</t>
        </is>
      </c>
      <c r="E16" s="697" t="inlineStr">
        <is>
          <t>Đã phát hành</t>
        </is>
      </c>
    </row>
    <row r="17" ht="32" customHeight="1" s="675">
      <c r="A17" s="697" t="inlineStr">
        <is>
          <t>Bất kỳ</t>
        </is>
      </c>
      <c r="B17" s="697" t="inlineStr">
        <is>
          <t>Sửa ...</t>
        </is>
      </c>
      <c r="C17" s="697" t="inlineStr">
        <is>
          <t>Back, không lưu</t>
        </is>
      </c>
      <c r="D17" s="697" t="inlineStr">
        <is>
          <t>(không phát hành)</t>
        </is>
      </c>
      <c r="E17" s="697" t="inlineStr">
        <is>
          <t>Nháp</t>
        </is>
      </c>
    </row>
    <row r="20">
      <c r="A20" s="695" t="inlineStr">
        <is>
          <t>3. PHÂN VÙNG TƯƠNG ĐƯƠNG - Hiển thị trên kênh bán sau khi gói Đang kinh doanh</t>
        </is>
      </c>
    </row>
    <row r="22" ht="45" customHeight="1" s="675">
      <c r="A22" s="696" t="inlineStr">
        <is>
          <t>Lớp dữ liệu</t>
        </is>
      </c>
      <c r="B22" s="696" t="inlineStr">
        <is>
          <t>Giá trị</t>
        </is>
      </c>
      <c r="C22" s="696" t="inlineStr">
        <is>
          <t>Web OA</t>
        </is>
      </c>
      <c r="D22" s="696" t="inlineStr">
        <is>
          <t>Miniapp</t>
        </is>
      </c>
    </row>
    <row r="23" ht="32" customHeight="1" s="675">
      <c r="A23" s="697" t="inlineStr">
        <is>
          <t>Kênh bán</t>
        </is>
      </c>
      <c r="B23" s="697" t="inlineStr">
        <is>
          <t>Web OA + Miniapp</t>
        </is>
      </c>
      <c r="C23" s="697" t="inlineStr">
        <is>
          <t>Hiện</t>
        </is>
      </c>
      <c r="D23" s="697" t="inlineStr">
        <is>
          <t>Hiện</t>
        </is>
      </c>
    </row>
    <row r="24" ht="32" customHeight="1" s="675">
      <c r="A24" s="697" t="inlineStr">
        <is>
          <t>Kênh bán</t>
        </is>
      </c>
      <c r="B24" s="697" t="inlineStr">
        <is>
          <t>Chỉ Miniapp</t>
        </is>
      </c>
      <c r="C24" s="697" t="inlineStr">
        <is>
          <t>Ẩn</t>
        </is>
      </c>
      <c r="D24" s="697" t="inlineStr">
        <is>
          <t>Hiện</t>
        </is>
      </c>
    </row>
    <row r="25" ht="32" customHeight="1" s="675">
      <c r="A25" s="697" t="inlineStr">
        <is>
          <t>Kênh bán</t>
        </is>
      </c>
      <c r="B25" s="697" t="inlineStr">
        <is>
          <t>Chỉ Web OA</t>
        </is>
      </c>
      <c r="C25" s="697" t="inlineStr">
        <is>
          <t>Hiện</t>
        </is>
      </c>
      <c r="D25" s="697" t="inlineStr">
        <is>
          <t>Ẩn (bộ TC cũ)</t>
        </is>
      </c>
    </row>
    <row r="26" ht="32" customHeight="1" s="675">
      <c r="A26" s="697" t="inlineStr">
        <is>
          <t>Loại hình gói</t>
        </is>
      </c>
      <c r="B26" s="697" t="inlineStr">
        <is>
          <t>Gói chính</t>
        </is>
      </c>
      <c r="C26" s="697" t="inlineStr">
        <is>
          <t>Khối Bước 1 - gói chính</t>
        </is>
      </c>
      <c r="D26" s="697" t="inlineStr">
        <is>
          <t>-</t>
        </is>
      </c>
    </row>
    <row r="27" ht="32" customHeight="1" s="675">
      <c r="A27" s="697" t="inlineStr">
        <is>
          <t>Loại hình gói</t>
        </is>
      </c>
      <c r="B27" s="697" t="inlineStr">
        <is>
          <t>Gói add-on</t>
        </is>
      </c>
      <c r="C27" s="697" t="inlineStr">
        <is>
          <t>Khối Bước 2 - Add-on</t>
        </is>
      </c>
      <c r="D27" s="697" t="inlineStr">
        <is>
          <t>-</t>
        </is>
      </c>
    </row>
    <row r="28" ht="32" customHeight="1" s="675">
      <c r="A28" s="697" t="inlineStr">
        <is>
          <t>Loại hình gói</t>
        </is>
      </c>
      <c r="B28" s="697" t="inlineStr">
        <is>
          <t>Gói nền</t>
        </is>
      </c>
      <c r="C28" s="697" t="inlineStr">
        <is>
          <t>Không hiển thị (BA confirm)</t>
        </is>
      </c>
      <c r="D28" s="697" t="inlineStr">
        <is>
          <t>-</t>
        </is>
      </c>
    </row>
    <row r="29" ht="32" customHeight="1" s="675">
      <c r="A29" s="697" t="inlineStr">
        <is>
          <t>Loại hình OA áp dụng</t>
        </is>
      </c>
      <c r="B29" s="697" t="inlineStr">
        <is>
          <t>Không khớp OA đang xem</t>
        </is>
      </c>
      <c r="C29" s="697" t="inlineStr">
        <is>
          <t>Ẩn</t>
        </is>
      </c>
      <c r="D29" s="697" t="inlineStr">
        <is>
          <t>-</t>
        </is>
      </c>
    </row>
    <row r="32">
      <c r="A32" s="695" t="inlineStr">
        <is>
          <t>4. PHÂN TÍCH GIÁ TRỊ BIÊN / DỮ LIỆU THỜI GIAN</t>
        </is>
      </c>
    </row>
    <row r="34" ht="45" customHeight="1" s="675">
      <c r="A34" s="696" t="inlineStr">
        <is>
          <t>Ràng buộc</t>
        </is>
      </c>
      <c r="B34" s="696" t="inlineStr">
        <is>
          <t>Dưới biên</t>
        </is>
      </c>
      <c r="C34" s="696" t="inlineStr">
        <is>
          <t>Tại biên</t>
        </is>
      </c>
      <c r="D34" s="696" t="inlineStr">
        <is>
          <t>Trên biên</t>
        </is>
      </c>
    </row>
    <row r="35" ht="32" customHeight="1" s="675">
      <c r="A35" s="697" t="inlineStr">
        <is>
          <t>Mã gói hiển thị trong popup (tối đa 50 ký tự)</t>
        </is>
      </c>
      <c r="B35" s="697" t="inlineStr">
        <is>
          <t>49 ký tự</t>
        </is>
      </c>
      <c r="C35" s="697" t="inlineStr">
        <is>
          <t>50 ký tự -&gt; xuống dòng, không tràn</t>
        </is>
      </c>
      <c r="D35" s="697" t="inlineStr">
        <is>
          <t>51 ký tự: không tạo được (UC2 chặn)</t>
        </is>
      </c>
    </row>
    <row r="36" ht="32" customHeight="1" s="675">
      <c r="A36" s="697" t="inlineStr">
        <is>
          <t>TH1.2 tạo qua UI</t>
        </is>
      </c>
      <c r="B36" s="697" t="inlineStr">
        <is>
          <t>Bắt đầu = hiện tại + 2 phút, chưa tới -&gt; TH1.1</t>
        </is>
      </c>
      <c r="C36" s="697" t="inlineStr">
        <is>
          <t>Vừa qua bắt đầu -&gt; TH1.2</t>
        </is>
      </c>
      <c r="D36" s="697" t="inlineStr">
        <is>
          <t>-</t>
        </is>
      </c>
    </row>
    <row r="37" ht="32" customHeight="1" s="675">
      <c r="A37" s="697" t="inlineStr">
        <is>
          <t>TH1.3 tạo qua UI</t>
        </is>
      </c>
      <c r="B37" s="697" t="inlineStr">
        <is>
          <t>Chưa tới kết thúc -&gt; TH1.2</t>
        </is>
      </c>
      <c r="C37" s="697" t="inlineStr">
        <is>
          <t>Vừa qua kết thúc -&gt; TH1.3 (ưu tiên hơn TH1.2)</t>
        </is>
      </c>
      <c r="D37" s="697" t="inlineStr">
        <is>
          <t>-</t>
        </is>
      </c>
    </row>
    <row r="38" ht="32" customHeight="1" s="675">
      <c r="A38" s="697" t="inlineStr">
        <is>
          <t>Giờ máy admin lệch</t>
        </is>
      </c>
      <c r="B38" s="697" t="inlineStr">
        <is>
          <t>-</t>
        </is>
      </c>
      <c r="C38" s="697" t="inlineStr">
        <is>
          <t>Lệch 0</t>
        </is>
      </c>
      <c r="D38" s="697" t="inlineStr">
        <is>
          <t>Lệch + 2 ngày -&gt; vẫn theo giờ server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2026-09-30T15:41:36Z</dcterms:created>
  <dcterms:modified xmlns:dcterms="http://purl.org/dc/terms/" xmlns:xsi="http://www.w3.org/2001/XMLSchema-instance" xsi:type="dcterms:W3CDTF">2026-09-30T15:41:39Z</dcterms:modified>
</cp:coreProperties>
</file>