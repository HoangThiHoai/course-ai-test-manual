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f1ae0ab2329dbf8/Desktop/CUA_EM_HOAI/AI Study/course-ai-test-manual/docs/testcases/goi-cuoc/web/"/>
    </mc:Choice>
  </mc:AlternateContent>
  <xr:revisionPtr revIDLastSave="1" documentId="11_C322A8B1D59B7D3C0C721DB55CC8C6FD9D440E05" xr6:coauthVersionLast="47" xr6:coauthVersionMax="47" xr10:uidLastSave="{A3DB3507-17F0-489A-849D-124C72EDAF12}"/>
  <bookViews>
    <workbookView xWindow="-120" yWindow="-120" windowWidth="29040" windowHeight="15720" xr2:uid="{00000000-000D-0000-FFFF-FFFF00000000}"/>
  </bookViews>
  <sheets>
    <sheet name="Quanlygoicuoc" sheetId="1" r:id="rId1"/>
    <sheet name="Kỹ thuật thiết kế T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57" i="1" l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1" i="1"/>
  <c r="A130" i="1"/>
  <c r="A129" i="1"/>
  <c r="A128" i="1"/>
  <c r="A127" i="1"/>
  <c r="A126" i="1"/>
  <c r="A125" i="1"/>
  <c r="A124" i="1"/>
  <c r="A123" i="1"/>
  <c r="A119" i="1"/>
  <c r="A118" i="1"/>
  <c r="A117" i="1"/>
  <c r="A116" i="1"/>
  <c r="A115" i="1"/>
  <c r="A114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2" i="1"/>
  <c r="A31" i="1"/>
  <c r="A30" i="1"/>
  <c r="A29" i="1"/>
  <c r="A28" i="1"/>
  <c r="A27" i="1"/>
  <c r="A26" i="1"/>
  <c r="A25" i="1"/>
  <c r="A24" i="1"/>
  <c r="A23" i="1"/>
  <c r="A22" i="1"/>
  <c r="A20" i="1"/>
  <c r="A19" i="1"/>
  <c r="A18" i="1"/>
  <c r="A17" i="1"/>
  <c r="A16" i="1"/>
  <c r="A15" i="1"/>
  <c r="C9" i="1"/>
  <c r="C8" i="1"/>
  <c r="C7" i="1"/>
  <c r="C6" i="1"/>
</calcChain>
</file>

<file path=xl/sharedStrings.xml><?xml version="1.0" encoding="utf-8"?>
<sst xmlns="http://schemas.openxmlformats.org/spreadsheetml/2006/main" count="1498" uniqueCount="1118">
  <si>
    <t>TỔNG CÔNG TY CỔ PHẦN BƯU CHÍNH VIETTEL
 KỊCH BẢN KIỂM THỬ</t>
  </si>
  <si>
    <t>Chức năng</t>
  </si>
  <si>
    <t>Quản lý gói cước - UC1 Danh sách gói cước, UC2 Tạo mới gói cước (CMS admin)</t>
  </si>
  <si>
    <t>Link TL + task</t>
  </si>
  <si>
    <t>SRS: Xây dựng module gói cước - mục Qly gói cước (UC danh sách gói cước, UC2 tạo mới gói cước) | Figma: [WEB] Tammi OA node 33996-147041</t>
  </si>
  <si>
    <t>ID</t>
  </si>
  <si>
    <t>TC</t>
  </si>
  <si>
    <t>Người tạo</t>
  </si>
  <si>
    <t>Số lượng Testcase</t>
  </si>
  <si>
    <t>Số testcase đạt (Pass)</t>
  </si>
  <si>
    <t>Số testcase không đạt (Fail)</t>
  </si>
  <si>
    <t>Số testcase N/A</t>
  </si>
  <si>
    <t>Mục đích</t>
  </si>
  <si>
    <t>Các bước thực hiện kiểm thử</t>
  </si>
  <si>
    <t>Kết quả mong muốn</t>
  </si>
  <si>
    <t>Dữ liệu kiểm thử</t>
  </si>
  <si>
    <t>Ngày tạo TCs</t>
  </si>
  <si>
    <t>Người thực hiện</t>
  </si>
  <si>
    <t>Ngày thực hiện</t>
  </si>
  <si>
    <t>Log ngày Test lại</t>
  </si>
  <si>
    <t xml:space="preserve">Trạng thái
</t>
  </si>
  <si>
    <t>Test sau Upcode</t>
  </si>
  <si>
    <t>Ghi chú</t>
  </si>
  <si>
    <t>UC1: (CMS admin) Chức năng Xem danh sách gói cước</t>
  </si>
  <si>
    <t xml:space="preserve">Pre-condition: 
Bước 1: Admin đăng nhập thành công vào hệ thống CMS, tài khoản có quyền xem phân hệ Gói cước
Bước 2: Click menu Quản lý tính năng dịch vụ &gt; Quản lý gói cước &gt; Quản lý gói cước
</t>
  </si>
  <si>
    <t>Kiểm tra gui UI/UX</t>
  </si>
  <si>
    <t>Kiểm tra UI</t>
  </si>
  <si>
    <t>Kiểm tra hiển thị giao diện mặc định</t>
  </si>
  <si>
    <t>1. Kiểm tra hiển thị màn hình Quản lý gói cước</t>
  </si>
  <si>
    <t>1. Hiển thị màn hình giống design gồm:
+ Tiêu đề: Quản lý gói cước
+ Button Thêm gói cước
+ Ô tìm kiếm
+ Button Xuất file excel, Cài đặt bảng, icon Bộ lọc
+ Bảng danh sách dạng nhóm Loại gói cước - Gói cước
+ Vùng phân trang</t>
  </si>
  <si>
    <t>24/09/2026</t>
  </si>
  <si>
    <t>Mục QL gói cước - UC danh sách gói cước - Mô tả giao diện</t>
  </si>
  <si>
    <t>Kiểm tra tổng thể giao diện màn hình</t>
  </si>
  <si>
    <t>1. Kiểm tra về bố cục, font chữ, chính tả, màu chữ</t>
  </si>
  <si>
    <t>1. 
- Các label, có độ dài, rộng và khoảng cách bằng nhau, không xô lệch
- Các label sử dụng cùng 1 loại font, cỡ chữ, căn lề
- Kiểm tra tất cả lỗi về chính tả, cấu trúc câu, ngữ pháp trên màn hình
- Form được bố trí hợp lý và dễ sử dụng</t>
  </si>
  <si>
    <t>Kiểm tra thứ tự di chuyển trỏ trên màn hình khi nhấn phím Tab</t>
  </si>
  <si>
    <t>1. Nhấn Tab liên tục</t>
  </si>
  <si>
    <t>1. Con trỏ di chuyển lần lượt theo thứ tự: Từ trái qua phải, từ trên xuống dưới</t>
  </si>
  <si>
    <t>Kiểm tra thứ tự con trỏ di chuyển ngược lại trên màn hình khi nhấn Shift-Tab</t>
  </si>
  <si>
    <t>1. Nhấn phím Shift-Tab liên tục</t>
  </si>
  <si>
    <t>1. Con trỏ di chuyển ngược lại theo thứ tự: từ dưới lên trên, từ phải qua trái</t>
  </si>
  <si>
    <t>Kiểm tra giao diện khi thu nhỏ, phóng to</t>
  </si>
  <si>
    <t>1. Trên màn hình chức năng
2. Nhấn tổ hợp phím Ctrl -
3. Nhấn tổ hợp phím Ctrl +</t>
  </si>
  <si>
    <t>3. Màn hình thu nhỏ, phóng to tương ứng và không bị vỡ giao diện</t>
  </si>
  <si>
    <t>Kiểm tra hiển thị menu đang chọn trên sidebar</t>
  </si>
  <si>
    <t>1. Kiểm tra menu Quản lý gói cước trên sidebar</t>
  </si>
  <si>
    <t>1. Menu con Quản lý gói cước được highlight (đang chọn), nhóm menu Quản lý gói cước ở trạng thái mở rộng</t>
  </si>
  <si>
    <t>Mục QL gói cước - UC danh sách gói cước - Trigger</t>
  </si>
  <si>
    <t>Vùng Tiêu đề &amp; Thanh công cụ</t>
  </si>
  <si>
    <t>Tiêu đề trang</t>
  </si>
  <si>
    <t>Kiểm tra text tiêu đề trang</t>
  </si>
  <si>
    <t>1. Kiểm tra tiêu đề màn hình</t>
  </si>
  <si>
    <t>1. Hiển thị tiêu đề: Quản lý gói cước</t>
  </si>
  <si>
    <t>Mục QL gói cước - UC danh sách gói cước STT 1</t>
  </si>
  <si>
    <t>Button Thêm gói cước</t>
  </si>
  <si>
    <t>Kiểm tra hiển thị button Thêm gói cước</t>
  </si>
  <si>
    <t>1. Kiểm tra hiển thị button Thêm gói cước góc phải trên</t>
  </si>
  <si>
    <t>1. Hiển thị button text "Thêm gói cước", trạng thái enable</t>
  </si>
  <si>
    <t>Mục QL gói cước - UC danh sách gói cước STT 2</t>
  </si>
  <si>
    <t>Kiểm tra khi click button Thêm gói cước trên thanh công cụ</t>
  </si>
  <si>
    <t>1. Click button Thêm gói cước</t>
  </si>
  <si>
    <t>1. 
- Điều hướng đến màn Tạo gói cước mới
- Trường Loại gói cước để trống, cho phép chọn loại gói</t>
  </si>
  <si>
    <t>Mục QL gói cước - UC danh sách gói cước STT 2; Mục QL gói cước - UC2 tạo mới gói cước STT 13 Th2</t>
  </si>
  <si>
    <t>Ô tìm kiếm</t>
  </si>
  <si>
    <t>Kiểm tra hiển thị mặc định ô tìm kiếm</t>
  </si>
  <si>
    <t>1. Kiểm tra ô tìm kiếm</t>
  </si>
  <si>
    <t>1. Mặc định trống, hiển thị placeholder: "Tìm kiếm theo tên, mã gói cước"</t>
  </si>
  <si>
    <t>Mục QL gói cước - UC danh sách gói cước STT 3. Design placeholder "Tìm kiếm theo tên, mã gói cước,..." - lệch dấu "...", Cần BA confirm</t>
  </si>
  <si>
    <t>Kiểm tra nhập dữ liệu vào ô tìm kiếm</t>
  </si>
  <si>
    <t>1. Nhập "OAPLUS" vào ô tìm kiếm</t>
  </si>
  <si>
    <t>1. Cho phép nhập, hiển thị đúng dữ liệu vừa nhập</t>
  </si>
  <si>
    <t>OAPLUS</t>
  </si>
  <si>
    <t>Chức năng tìm kiếm mô tả tại UC tìm kiếm riêng (SRS: "theo UC...") - chỉ test hiển thị/nhập liệu</t>
  </si>
  <si>
    <t>Button Xuất file excel</t>
  </si>
  <si>
    <t>Kiểm tra hiển thị button Xuất file excel</t>
  </si>
  <si>
    <t>1. Kiểm tra button Xuất file excel</t>
  </si>
  <si>
    <t>1. Hiển thị button viền, icon bảng tính màu xanh lá + text "Xuất file excel", trạng thái enable</t>
  </si>
  <si>
    <t>Mục QL gói cước - UC danh sách gói cước STT 4</t>
  </si>
  <si>
    <t>Kiểm tra khi click button Xuất file excel</t>
  </si>
  <si>
    <t>1. Click button Xuất file excel</t>
  </si>
  <si>
    <t>1. Thực hiện chức năng xuất file excel theo UC Xuất file excel</t>
  </si>
  <si>
    <t>Mục QL gói cước - UC danh sách gói cước STT 4 - SRS chưa mô tả UC xuất excel, Cần BA confirm</t>
  </si>
  <si>
    <t>Button Cài đặt bảng</t>
  </si>
  <si>
    <t>Kiểm tra hiển thị button Cài đặt bảng</t>
  </si>
  <si>
    <t>1. Kiểm tra button Cài đặt bảng</t>
  </si>
  <si>
    <t>1. Hiển thị button viền, icon bánh răng + text "Cài đặt bảng", trạng thái enable</t>
  </si>
  <si>
    <t>Mục QL gói cước - UC danh sách gói cước STT 5</t>
  </si>
  <si>
    <t>Kiểm tra khi click button Cài đặt bảng</t>
  </si>
  <si>
    <t>1. Click button Cài đặt bảng</t>
  </si>
  <si>
    <t>1. Hiển thị popup cấu hình ẩn/hiện các cột dữ liệu của bảng danh sách gói cước</t>
  </si>
  <si>
    <t>Mục QL gói cước - UC danh sách gói cước STT 5 - Chi tiết popup mô tả tại UC riêng</t>
  </si>
  <si>
    <t>Icon Bộ lọc</t>
  </si>
  <si>
    <t>Kiểm tra hiển thị icon Bộ lọc</t>
  </si>
  <si>
    <t>1. Kiểm tra icon Bộ lọc</t>
  </si>
  <si>
    <t>1. Hiển thị icon phễu lọc, trạng thái enable</t>
  </si>
  <si>
    <t>Mục QL gói cước - UC danh sách gói cước STT 6</t>
  </si>
  <si>
    <t>Kiểm tra khi click icon Bộ lọc</t>
  </si>
  <si>
    <t>1. Click icon Bộ lọc</t>
  </si>
  <si>
    <t>1. Mở tab bộ lọc</t>
  </si>
  <si>
    <t>Mục QL gói cước - UC danh sách gói cước STT 6 - Chi tiết bộ lọc mô tả tại UC riêng</t>
  </si>
  <si>
    <t>Vùng danh sách - Dòng cha Loại gói cước</t>
  </si>
  <si>
    <t>Danh sách chưa có dữ liệu</t>
  </si>
  <si>
    <t>Kiểm tra hiển thị khi hệ thống chưa có loại gói cước nào</t>
  </si>
  <si>
    <t>ĐK: Hệ thống chưa có loại gói cước nào (hoặc tất cả ở trạng thái Đã xoá)
1. Truy cập màn hình Quản lý gói cước
2. Kiểm tra vùng danh sách</t>
  </si>
  <si>
    <t>2. Không hiển thị bảng dữ liệu. Hiển thị text "Danh sách trống"</t>
  </si>
  <si>
    <t>Mục QL gói cước - UC danh sách gói cước - Exception 2a, BR4</t>
  </si>
  <si>
    <t>Danh sách đã có dữ liệu</t>
  </si>
  <si>
    <t>Kiểm tra hiển thị danh sách dạng nhóm Cha - Con</t>
  </si>
  <si>
    <t>ĐK: Hệ thống có loại gói cước và gói cước
1. Truy cập màn hình Quản lý gói cước
2. Kiểm tra vùng danh sách</t>
  </si>
  <si>
    <t>2. Hiển thị danh sách dạng nhóm: dòng cha là Loại gói cước, bên dưới là bảng con gói cước trực thuộc</t>
  </si>
  <si>
    <t>Mục QL gói cước - UC danh sách gói cước BR_01</t>
  </si>
  <si>
    <t>Trạng thái Thu gọn/Mở rộng mặc định</t>
  </si>
  <si>
    <t>Kiểm tra trạng thái mặc định của các dòng cha khi tải trang</t>
  </si>
  <si>
    <t>1. Truy cập màn hình Quản lý gói cước
2. Kiểm tra các dòng Loại gói cước</t>
  </si>
  <si>
    <t>2. 
- Tất cả dòng cha ở trạng thái thu gọn, chỉ thấy dòng cha
- Icon mũi tên hướng xuống ⌄</t>
  </si>
  <si>
    <t>Mục QL gói cước - UC danh sách gói cước BR_02, STT 7. Ảnh design đang thể hiện trạng thái mở rộng - Cần BA confirm</t>
  </si>
  <si>
    <t>Nút Đóng / Mở rộng</t>
  </si>
  <si>
    <t>Kiểm tra click mở rộng dòng cha đang thu gọn</t>
  </si>
  <si>
    <t>ĐK: Dòng cha đang thu gọn
1. Click icon mũi tên ⌄ tại dòng Loại gói cước</t>
  </si>
  <si>
    <t>1. 
- Hiển thị bảng con danh sách gói cước thuộc loại gói đó
- Icon đổi thành mũi tên hướng lên ⌃</t>
  </si>
  <si>
    <t>Mục QL gói cước - UC danh sách gói cước STT 7 - Kỹ thuật: Sơ đồ chuyển trạng thái</t>
  </si>
  <si>
    <t>Kiểm tra click thu gọn dòng cha đang mở rộng</t>
  </si>
  <si>
    <t>ĐK: Dòng cha đang mở rộng
1. Click icon mũi tên ⌃ tại dòng Loại gói cước</t>
  </si>
  <si>
    <t>1. 
- Ẩn bảng con danh sách gói cước
- Icon đổi thành mũi tên hướng xuống ⌄</t>
  </si>
  <si>
    <t>Kiểm tra mở rộng đồng thời nhiều dòng cha</t>
  </si>
  <si>
    <t>1. Click mở rộng Loại gói A
2. Click mở rộng Loại gói B</t>
  </si>
  <si>
    <t>2. Cả 2 dòng cha cùng mở rộng, mở dòng B không làm thu gọn dòng A</t>
  </si>
  <si>
    <t>Mục QL gói cước - UC danh sách gói cước STT 7</t>
  </si>
  <si>
    <t>Kiểm tra mở rộng loại gói cước chưa có gói cước con</t>
  </si>
  <si>
    <t>ĐK: Loại gói cước chưa có gói cước nào (badge = 0)
1. Click mở rộng dòng loại gói đó</t>
  </si>
  <si>
    <t>1. 
- Bảng con không có dòng gói cước nào
- Vẫn hiển thị link "+ Thêm gói cước"</t>
  </si>
  <si>
    <t>Mục QL gói cước - UC danh sách gói cước STT 7, 23 - SRS chưa mô tả hiển thị bảng con rỗng, Cần BA confirm</t>
  </si>
  <si>
    <t>Kiểm tra trạng thái thu gọn/mở rộng sau khi tải lại trang</t>
  </si>
  <si>
    <t>ĐK: Đang mở rộng 1 dòng cha
1. Nhấn F5 tải lại trang</t>
  </si>
  <si>
    <t>1. Tất cả dòng cha trở về trạng thái thu gọn mặc định</t>
  </si>
  <si>
    <t>Mục QL gói cước - UC danh sách gói cước BR_02</t>
  </si>
  <si>
    <t>Loại gói cước</t>
  </si>
  <si>
    <t>Kiểm tra hiển thị tên loại gói cước trên dòng cha</t>
  </si>
  <si>
    <t>1. Kiểm tra thông tin tên loại gói trên dòng cha</t>
  </si>
  <si>
    <t>1. Hiển thị "Tên loại gói: &lt;Tên loại gói cước&gt;" đúng dữ liệu đã tạo tại Quản lý loại gói cước</t>
  </si>
  <si>
    <t>Plus OA Business</t>
  </si>
  <si>
    <t>Mục QL gói cước - UC danh sách gói cước STT 8</t>
  </si>
  <si>
    <t>Kiểm tra dòng cha chỉ hiển thị loại gói cước khác trạng thái Đã xoá</t>
  </si>
  <si>
    <t>ĐK: Có loại gói A trạng thái Đang hoạt động, loại gói B trạng thái Đã xoá
1. Kiểm tra danh sách dòng cha</t>
  </si>
  <si>
    <t>1. 
- Hiển thị loại gói A
- Không hiển thị loại gói B</t>
  </si>
  <si>
    <t>Mục QL gói cước - UC danh sách gói cước BR_01 - Kỹ thuật: Phân vùng tương đương</t>
  </si>
  <si>
    <t>Kiểm tra loại gói cước vừa bị xoá biến mất khỏi danh sách</t>
  </si>
  <si>
    <t>ĐK: Loại gói A đang hiển thị
1. Xoá loại gói A tại Quản lý loại gói cước
2. Quay lại màn Quản lý gói cước</t>
  </si>
  <si>
    <t>2. Không còn hiển thị dòng cha loại gói A</t>
  </si>
  <si>
    <t>Mục QL gói cước - UC danh sách gói cước BR_01 - Kỹ thuật: Sơ đồ chuyển trạng thái</t>
  </si>
  <si>
    <t>Kiểm tra loại gói cước mới tạo hiển thị trên danh sách</t>
  </si>
  <si>
    <t>1. Tạo mới loại gói cước tại Quản lý loại gói cước
2. Quay lại màn Quản lý gói cước</t>
  </si>
  <si>
    <t>2. Hiển thị dòng cha loại gói vừa tạo, badge số lượng = 0, đúng vị trí sắp xếp mặc định</t>
  </si>
  <si>
    <t>Kiểm tra thứ tự hiển thị mặc định các dòng cha</t>
  </si>
  <si>
    <t>ĐK: Có nhiều loại gói cước thuộc loại dịch vụ khác nhau (OA, Meeting, Thiết bị)
1. Kiểm tra thứ tự dòng cha</t>
  </si>
  <si>
    <t>1. Thứ tự mặc định sắp xếp theo tên loại dịch vụ từ A-Z</t>
  </si>
  <si>
    <t>Mục QL gói cước - UC danh sách gói cước BR_01 - SRS chưa nêu thứ tự phụ khi cùng loại dịch vụ, Cần BA confirm</t>
  </si>
  <si>
    <t>Badge số lượng</t>
  </si>
  <si>
    <t>Kiểm tra badge số lượng gói cước của loại gói</t>
  </si>
  <si>
    <t>ĐK: Loại gói A có 3 gói cước khác trạng thái Đã xoá
1. Kiểm tra badge cạnh tên loại gói A</t>
  </si>
  <si>
    <t>1. Badge hiển thị số 3</t>
  </si>
  <si>
    <t>Mục QL gói cước - UC danh sách gói cước STT 9</t>
  </si>
  <si>
    <t>Kiểm tra badge không tính gói cước trạng thái Đã xoá</t>
  </si>
  <si>
    <t>ĐK: Loại gói A có 3 gói (Nháp, Đang kinh doanh, Ngừng kinh doanh) và 1 gói Đã xoá
1. Kiểm tra badge</t>
  </si>
  <si>
    <t>Mục QL gói cước - UC danh sách gói cước STT 9 - Kỹ thuật: Phân vùng tương đương</t>
  </si>
  <si>
    <t>Kiểm tra badge cập nhật sau khi thêm mới gói cước</t>
  </si>
  <si>
    <t>ĐK: Badge loại gói A đang là X
1. Tạo mới 1 gói cước thuộc loại gói A
2. Quay lại danh sách</t>
  </si>
  <si>
    <t>2. Badge loại gói A hiển thị X+1</t>
  </si>
  <si>
    <t>Kiểm tra badge cập nhật sau khi xoá gói cước</t>
  </si>
  <si>
    <t>ĐK: Badge loại gói A đang là X
1. Xoá 1 gói cước Nháp thuộc loại gói A
2. Kiểm tra badge</t>
  </si>
  <si>
    <t>2. Badge loại gói A hiển thị X-1</t>
  </si>
  <si>
    <t>Kiểm tra badge khi loại gói chưa có gói cước</t>
  </si>
  <si>
    <t>ĐK: Loại gói A chưa có gói cước
1. Kiểm tra badge</t>
  </si>
  <si>
    <t>1. Badge hiển thị số 0</t>
  </si>
  <si>
    <t>Mục QL gói cước - UC danh sách gói cước STT 9 - Kỹ thuật: Phân tích giá trị biên</t>
  </si>
  <si>
    <t>Loại dịch vụ</t>
  </si>
  <si>
    <t>Kiểm tra hiển thị loại dịch vụ trên dòng cha</t>
  </si>
  <si>
    <t>1. Kiểm tra thông tin loại dịch vụ</t>
  </si>
  <si>
    <t>1. Hiển thị "Loại dịch vụ: &lt;giá trị&gt;" đúng loại dịch vụ của loại gói cước (OA, Meeting, Thiết bị...)</t>
  </si>
  <si>
    <t>Mục QL gói cước - UC danh sách gói cước STT 10</t>
  </si>
  <si>
    <t>Loại hình OA áp dụng</t>
  </si>
  <si>
    <t>Kiểm tra hiển thị Loại hình OA áp dụng khi loại dịch vụ = OA</t>
  </si>
  <si>
    <t>ĐK: Loại gói có loại dịch vụ = OA
1. Kiểm tra dòng cha</t>
  </si>
  <si>
    <t>1. Hiển thị "Loại hình OA áp dụng: &lt;tên loại hình&gt;" sắp xếp tên A-Z, cách nhau dấu ";"</t>
  </si>
  <si>
    <t>Doanh nghiệp; Khối nhà nước</t>
  </si>
  <si>
    <t>Mục QL gói cước - UC danh sách gói cước STT 11 - Kỹ thuật: Bảng quyết định</t>
  </si>
  <si>
    <t>Kiểm tra ẩn Loại hình OA áp dụng khi loại dịch vụ khác OA</t>
  </si>
  <si>
    <t>ĐK: Loại gói có loại dịch vụ = Thiết bị
1. Kiểm tra dòng cha</t>
  </si>
  <si>
    <t>1. Không hiển thị thông tin Loại hình OA áp dụng</t>
  </si>
  <si>
    <t>Kiểm tra Loại hình OA áp dụng dài quá 20 ký tự</t>
  </si>
  <si>
    <t>ĐK: Chuỗi loại hình OA áp dụng dài 21 ký tự
1. Kiểm tra hiển thị</t>
  </si>
  <si>
    <t>1. Hiển thị 20 ký tự đầu, phần còn lại thay bằng "…"</t>
  </si>
  <si>
    <t>Chuỗi 21 ký tự</t>
  </si>
  <si>
    <t>Mục QL gói cước - UC danh sách gói cước STT 11 - Kỹ thuật: Phân tích giá trị biên</t>
  </si>
  <si>
    <t>Kiểm tra Loại hình OA áp dụng đúng 20 ký tự</t>
  </si>
  <si>
    <t>ĐK: Chuỗi loại hình OA áp dụng dài 20 ký tự
1. Kiểm tra hiển thị</t>
  </si>
  <si>
    <t>1. Hiển thị đầy đủ 20 ký tự, không có "…"</t>
  </si>
  <si>
    <t>Chuỗi 20 ký tự</t>
  </si>
  <si>
    <t>Danh mục OA áp dụng</t>
  </si>
  <si>
    <t>Kiểm tra hiển thị Danh mục OA áp dụng khi loại dịch vụ = OA</t>
  </si>
  <si>
    <t>1. Hiển thị "Danh mục OA áp dụng: &lt;tên danh mục&gt;" sắp xếp tên A-Z, cách nhau dấu ";"</t>
  </si>
  <si>
    <t>Mục QL gói cước - UC danh sách gói cước STT 12 - Kỹ thuật: Bảng quyết định</t>
  </si>
  <si>
    <t>Kiểm tra ẩn Danh mục OA áp dụng khi loại dịch vụ khác OA</t>
  </si>
  <si>
    <t>ĐK: Loại gói có loại dịch vụ = Meeting
1. Kiểm tra dòng cha</t>
  </si>
  <si>
    <t>1. Không hiển thị thông tin Danh mục OA áp dụng</t>
  </si>
  <si>
    <t>Kiểm tra Danh mục OA áp dụng dài quá 20 ký tự</t>
  </si>
  <si>
    <t>ĐK: Chuỗi danh mục OA áp dụng dài 21 ký tự
1. Kiểm tra hiển thị</t>
  </si>
  <si>
    <t>Mục QL gói cước - UC danh sách gói cước STT 12 - Kỹ thuật: Phân tích giá trị biên</t>
  </si>
  <si>
    <t>Phạm vi áp dụng</t>
  </si>
  <si>
    <t>Kiểm tra hiển thị Phạm vi áp dụng trên dòng cha</t>
  </si>
  <si>
    <t>1. Kiểm tra dòng cha</t>
  </si>
  <si>
    <t>1. Hiển thị "Phạm vi áp dụng: &lt;Tài khoản OA / Tài khoản Tammi&gt;" theo design</t>
  </si>
  <si>
    <t>Design có "Phạm vi áp dụng" nhưng bảng mô tả SRS không có (thiếu STT 13) - Cần BA confirm</t>
  </si>
  <si>
    <t>Vùng danh sách - Bảng gói cước (dòng con)</t>
  </si>
  <si>
    <t>Header bảng con</t>
  </si>
  <si>
    <t>Kiểm tra các cột của bảng danh sách gói cước</t>
  </si>
  <si>
    <t>ĐK: Mở rộng 1 dòng cha
1. Kiểm tra header bảng</t>
  </si>
  <si>
    <t>1. Hiển thị các cột: Mã gói, Chu kỳ, Giá gốc (VNĐ), Kênh bán, Loại hình, Trạng thái, Thời gian cập nhật, Người cập nhật, Thao tác</t>
  </si>
  <si>
    <t>Mục QL gói cước - UC danh sách gói cước STT 14-22. Design có thêm cột "Gia hạn tự động" không có trong SRS - Cần BA confirm</t>
  </si>
  <si>
    <t>Kiểm tra cột Thao tác cố định khi cuộn ngang bảng</t>
  </si>
  <si>
    <t>ĐK: Bảng có nhiều cột vượt độ rộng màn hình
1. Cuộn ngang bảng</t>
  </si>
  <si>
    <t>1. Cột Thao tác luôn hiển thị cố định bên phải, các cột khác cuộn bình thường, không vỡ layout</t>
  </si>
  <si>
    <t>Theo design - Cần BA confirm</t>
  </si>
  <si>
    <t>Danh sách gói cước con</t>
  </si>
  <si>
    <t>Kiểm tra bảng con chỉ hiển thị gói cước khác trạng thái Đã xoá</t>
  </si>
  <si>
    <t>ĐK: Loại gói A có gói Nháp, Đã phát hành, Đang kinh doanh, Ngừng kinh doanh và 1 gói Đã xoá
1. Mở rộng loại gói A</t>
  </si>
  <si>
    <t>1. 
- Hiển thị 4 gói ở trạng thái Nháp, Đã phát hành, Đang kinh doanh, Ngừng kinh doanh
- Không hiển thị gói Đã xoá</t>
  </si>
  <si>
    <t>Kiểm tra gói cước chỉ hiển thị dưới đúng loại gói cước của nó</t>
  </si>
  <si>
    <t>1. Mở rộng loại gói A và loại gói B
2. Đối chiếu gói cước với dữ liệu DB</t>
  </si>
  <si>
    <t>2. Gói cước hiển thị đúng dưới loại gói cước sở hữu, không lẫn sang loại gói khác</t>
  </si>
  <si>
    <t>Kiểm tra thứ tự mặc định các gói cước con</t>
  </si>
  <si>
    <t>ĐK: Loại gói A có gói chu kỳ 12 tháng, 7 ngày, 1 năm, 2 tuần
1. Mở rộng loại gói A</t>
  </si>
  <si>
    <t>1. Sắp xếp theo chu kỳ quy đổi ra ngày từ bé đến lớn: 7 ngày, 2 tuần, 12 tháng, 1 năm</t>
  </si>
  <si>
    <t>7 ngày=7; 2 tuần=14; 12 tháng=360; 1 năm=360</t>
  </si>
  <si>
    <t>Mục QL gói cước - UC danh sách gói cước BR_01; Mục QL gói cước - UC2 tạo mới gói cước BR05. 12 tháng và 1 năm cùng 360 ngày (không thể cùng loại gói theo BR06) - dữ liệu minh hoạ</t>
  </si>
  <si>
    <t>Cột Mã gói</t>
  </si>
  <si>
    <t>Kiểm tra hiển thị cột Mã gói</t>
  </si>
  <si>
    <t>1. Kiểm tra dữ liệu cột Mã gói</t>
  </si>
  <si>
    <t>1. Hiển thị mã gói dạng text in hoa, đúng mã đã tạo</t>
  </si>
  <si>
    <t>OAPLUS30</t>
  </si>
  <si>
    <t>Mục QL gói cước - UC danh sách gói cước STT 14</t>
  </si>
  <si>
    <t>Sắp xếp cột (dòng con)</t>
  </si>
  <si>
    <t>Kiểm tra sắp xếp cột Mã gói tăng dần</t>
  </si>
  <si>
    <t>1. Mở rộng 1 loại gói
2. Click icon ⇅ tại cột Mã gói 1 lần</t>
  </si>
  <si>
    <t>2. Danh sách gói con của loại gói đó sắp xếp theo Mã gói A-Z</t>
  </si>
  <si>
    <t>Mục QL gói cước - UC danh sách gói cước STT 14, BR_03</t>
  </si>
  <si>
    <t>Kiểm tra sắp xếp cột Mã gói giảm dần</t>
  </si>
  <si>
    <t>1. Click icon ⇅ tại cột Mã gói 2 lần</t>
  </si>
  <si>
    <t>1. Danh sách gói con sắp xếp theo Mã gói Z-A</t>
  </si>
  <si>
    <t>Kiểm tra sắp xếp cột Chu kỳ</t>
  </si>
  <si>
    <t>1. Click icon ⇅ tại cột Chu kỳ
2. Click lại lần 2</t>
  </si>
  <si>
    <t>1. Sắp xếp chu kỳ bé đến lớn
2. Sắp xếp chu kỳ lớn đến bé</t>
  </si>
  <si>
    <t>Mục QL gói cước - UC danh sách gói cước STT 15, BR_03 - SRS chưa nêu so sánh theo số hay quy đổi ngày khi khác đơn vị, Cần BA confirm</t>
  </si>
  <si>
    <t>Kiểm tra sắp xếp cột Giá gốc</t>
  </si>
  <si>
    <t>1. Click icon ⇅ tại cột Giá gốc
2. Click lại lần 2</t>
  </si>
  <si>
    <t>1. Sắp xếp giá bé đến lớn
2. Sắp xếp giá lớn đến bé</t>
  </si>
  <si>
    <t>Mục QL gói cước - UC danh sách gói cước STT 16, BR_03</t>
  </si>
  <si>
    <t>Kiểm tra sắp xếp cột Kênh bán</t>
  </si>
  <si>
    <t>1. Click icon ⇅ tại cột Kênh bán
2. Click lại lần 2</t>
  </si>
  <si>
    <t>1. Sắp xếp tên kênh A-Z
2. Sắp xếp tên kênh Z-A</t>
  </si>
  <si>
    <t>Mục QL gói cước - UC danh sách gói cước STT 17, BR_03</t>
  </si>
  <si>
    <t>Kiểm tra sắp xếp cột Loại hình</t>
  </si>
  <si>
    <t>1. Click icon ⇅ tại cột Loại hình
2. Click lại lần 2</t>
  </si>
  <si>
    <t>1. Sắp xếp tên loại hình A-Z
2. Sắp xếp Z-A</t>
  </si>
  <si>
    <t>Mục QL gói cước - UC danh sách gói cước STT 18, BR_03</t>
  </si>
  <si>
    <t>Kiểm tra sắp xếp cột Trạng thái</t>
  </si>
  <si>
    <t>1. Click icon ⇅ tại cột Trạng thái
2. Click lại lần 2</t>
  </si>
  <si>
    <t>1. Sắp xếp theo thứ tự: Nháp → Đã phát hành → Đang kinh doanh → Ngừng kinh doanh
2. Sắp xếp theo thứ tự ngược lại</t>
  </si>
  <si>
    <t>Mục QL gói cước - UC danh sách gói cước STT 19, BR_03</t>
  </si>
  <si>
    <t>Kiểm tra sắp xếp cột Thời gian cập nhật</t>
  </si>
  <si>
    <t>1. Click icon ⇅ tại cột Thời gian cập nhật
2. Click lại lần 2</t>
  </si>
  <si>
    <t>1. Sắp xếp từ gần đến xa
2. Sắp xếp từ xa đến gần</t>
  </si>
  <si>
    <t>Mục QL gói cước - UC danh sách gói cước STT 20, BR_03</t>
  </si>
  <si>
    <t>Kiểm tra sắp xếp cột Người cập nhật</t>
  </si>
  <si>
    <t>1. Click icon ⇅ tại cột Người cập nhật
2. Click lại lần 2</t>
  </si>
  <si>
    <t>1. Sắp xếp tên A-Z
2. Sắp xếp tên Z-A</t>
  </si>
  <si>
    <t>Mục QL gói cước - UC danh sách gói cước STT 21, BR_03</t>
  </si>
  <si>
    <t>Kiểm tra sắp xếp chỉ áp dụng cục bộ trong loại gói đang thao tác</t>
  </si>
  <si>
    <t>ĐK: Mở rộng loại gói A và B
1. Click sắp xếp cột Giá gốc tại bảng con loại gói A</t>
  </si>
  <si>
    <t>1. 
- Chỉ danh sách gói con của loại gói A thay đổi thứ tự
- Bảng con loại gói B và thứ tự dòng cha không đổi</t>
  </si>
  <si>
    <t>Mục QL gói cước - UC danh sách gói cước BR_03</t>
  </si>
  <si>
    <t>Cột Chu kỳ</t>
  </si>
  <si>
    <t>Kiểm tra định dạng cột Chu kỳ</t>
  </si>
  <si>
    <t>1. Kiểm tra dữ liệu cột Chu kỳ</t>
  </si>
  <si>
    <t>1. Hiển thị [Số] [Đơn vị], VD: 7 tháng, 12 tháng, 24 tháng</t>
  </si>
  <si>
    <t>Mục QL gói cước - UC danh sách gói cước STT 15</t>
  </si>
  <si>
    <t>Kiểm tra hiển thị chu kỳ theo từng đơn vị</t>
  </si>
  <si>
    <t>ĐK: Có gói chu kỳ đơn vị Ngày, Tuần, Tháng, Năm
1. Kiểm tra cột Chu kỳ</t>
  </si>
  <si>
    <t>1. Hiển thị đúng đơn vị đã lưu khi tạo: "30 ngày", "2 tuần", "12 tháng", "1 năm" (không tự quy đổi)</t>
  </si>
  <si>
    <t>Mục QL gói cước - UC danh sách gói cước STT 15; Mục QL gói cước - UC2 tạo mới gói cước dữ liệu lưu billing_cycle_unit - Kỹ thuật: Phân vùng tương đương</t>
  </si>
  <si>
    <t>Cột Giá gốc (VNĐ)</t>
  </si>
  <si>
    <t>Kiểm tra định dạng cột Giá gốc</t>
  </si>
  <si>
    <t>1. Kiểm tra dữ liệu cột Giá gốc</t>
  </si>
  <si>
    <t>1. Hiển thị số tiền có dấu chấm phân cách hàng nghìn, VD: 1.200.000</t>
  </si>
  <si>
    <t>1200000 -&gt; 1.200.000</t>
  </si>
  <si>
    <t>Mục QL gói cước - UC danh sách gói cước STT 16</t>
  </si>
  <si>
    <t>Kiểm tra hiển thị giá gốc giá trị lớn</t>
  </si>
  <si>
    <t>ĐK: Gói có giá gốc 9.999.999.999.999
1. Kiểm tra cột Giá gốc</t>
  </si>
  <si>
    <t>1. Hiển thị đúng 9.999.999.999.999, không vỡ layout, không hiển thị dạng số mũ</t>
  </si>
  <si>
    <t>9999999999999</t>
  </si>
  <si>
    <t>Mục QL gói cước - UC danh sách gói cước STT 16 - DECIMAL(15,2) - Kỹ thuật: Phân tích giá trị biên</t>
  </si>
  <si>
    <t>Cột Kênh bán</t>
  </si>
  <si>
    <t>Kiểm tra hiển thị cột Kênh bán 1 kênh</t>
  </si>
  <si>
    <t>ĐK: Gói có kênh phân phối Web OA
1. Kiểm tra cột Kênh bán</t>
  </si>
  <si>
    <t>1. Hiển thị: Web OA</t>
  </si>
  <si>
    <t>Mục QL gói cước - UC danh sách gói cước STT 17 - Kỹ thuật: Phân vùng tương đương</t>
  </si>
  <si>
    <t>Kiểm tra hiển thị cột Kênh bán nhiều kênh</t>
  </si>
  <si>
    <t>ĐK: Gói có kênh phân phối Web OA và Mini app gói cước Tammi
1. Kiểm tra cột Kênh bán</t>
  </si>
  <si>
    <t>1. Hiển thị đủ 2 kênh, text dài cắt "..." như design ("Mini app gói cước...")</t>
  </si>
  <si>
    <t>Mục QL gói cước - UC danh sách gói cước STT 17 - SRS chưa nêu dấu phân cách/tooltip khi nhiều kênh, Cần BA confirm</t>
  </si>
  <si>
    <t>Cột Loại hình</t>
  </si>
  <si>
    <t>Kiểm tra hiển thị cột Loại hình</t>
  </si>
  <si>
    <t>ĐK: Có gói Gói chính và gói Gói add-on
1. Kiểm tra cột Loại hình</t>
  </si>
  <si>
    <t>1. Hiển thị đúng: Chính / Add-on</t>
  </si>
  <si>
    <t>Mục QL gói cước - UC danh sách gói cước STT 18 - Kỹ thuật: Phân vùng tương đương</t>
  </si>
  <si>
    <t>Cột Trạng thái</t>
  </si>
  <si>
    <t>Kiểm tra hiển thị trạng thái Nháp</t>
  </si>
  <si>
    <t>ĐK: Gói ở trạng thái Nháp
1. Kiểm tra cột Trạng thái</t>
  </si>
  <si>
    <t>1. Hiển thị status pill "Nháp" màu xám theo design</t>
  </si>
  <si>
    <t>Mục QL gói cước - UC danh sách gói cước STT 19 - Kỹ thuật: Phân vùng tương đương</t>
  </si>
  <si>
    <t>Kiểm tra hiển thị trạng thái Đã phát hành</t>
  </si>
  <si>
    <t>ĐK: Gói ở trạng thái Đã phát hành
1. Kiểm tra cột Trạng thái</t>
  </si>
  <si>
    <t>1. Hiển thị status pill "Đã phát hành" màu vàng theo design</t>
  </si>
  <si>
    <t>Mục QL gói cước - UC danh sách gói cước STT 19 (SRS ghi "đã ban hành", design ghi "Đã phát hành" - Cần BA confirm)</t>
  </si>
  <si>
    <t>Kiểm tra hiển thị trạng thái Đang kinh doanh</t>
  </si>
  <si>
    <t>ĐK: Gói ở trạng thái Đang kinh doanh
1. Kiểm tra cột Trạng thái</t>
  </si>
  <si>
    <t>1. Hiển thị status pill "Đang kinh doanh" màu xanh theo design</t>
  </si>
  <si>
    <t>Kiểm tra hiển thị trạng thái Ngừng kinh doanh</t>
  </si>
  <si>
    <t>ĐK: Gói ở trạng thái Ngừng kinh doanh
1. Kiểm tra cột Trạng thái</t>
  </si>
  <si>
    <t>1. Hiển thị status pill "Ngừng kinh doanh" màu đỏ theo design</t>
  </si>
  <si>
    <t>Kiểm tra trạng thái cập nhật khi gói tự động chuyển trạng thái</t>
  </si>
  <si>
    <t>ĐK: Gói Đã phát hành, Bật/tắt trạng thái = Tự động, thời gian bắt đầu = hiện tại + 2 phút
1. Chờ qua thời gian bắt đầu
2. Tải lại danh sách</t>
  </si>
  <si>
    <t>2. Cột Trạng thái của gói hiển thị "Đang kinh doanh"</t>
  </si>
  <si>
    <t>Bảng Trạng thái gói cước (Đã phát hành → Đang kinh doanh) - Kỹ thuật: Sơ đồ chuyển trạng thái</t>
  </si>
  <si>
    <t>Cột Thời gian cập nhật</t>
  </si>
  <si>
    <t>Kiểm tra định dạng cột Thời gian cập nhật</t>
  </si>
  <si>
    <t>1. Kiểm tra cột Thời gian cập nhật</t>
  </si>
  <si>
    <t>1. Hiển thị thời điểm cập nhật gần nhất định dạng DD/MM/YYYY HH:mm:ss</t>
  </si>
  <si>
    <t>01/09/2026 10:09:50</t>
  </si>
  <si>
    <t>Mục QL gói cước - UC danh sách gói cước STT 20</t>
  </si>
  <si>
    <t>Kiểm tra Thời gian/Người cập nhật thay đổi sau khi chỉnh sửa gói</t>
  </si>
  <si>
    <t>1. Admin B chỉnh sửa 1 gói cước
2. Quay lại danh sách</t>
  </si>
  <si>
    <t>2. Thời gian cập nhật = thời điểm lưu chỉnh sửa, Người cập nhật = họ tên Admin B</t>
  </si>
  <si>
    <t>Mục QL gói cước - UC danh sách gói cước STT 20, 21</t>
  </si>
  <si>
    <t>Cột Người cập nhật</t>
  </si>
  <si>
    <t>Kiểm tra hiển thị cột Người cập nhật</t>
  </si>
  <si>
    <t>1. Kiểm tra cột Người cập nhật</t>
  </si>
  <si>
    <t>1. Hiển thị họ và tên tài khoản Admin thực hiện cập nhật gần nhất</t>
  </si>
  <si>
    <t>Nguyễn Văn A</t>
  </si>
  <si>
    <t>Mục QL gói cước - UC danh sách gói cước STT 21</t>
  </si>
  <si>
    <t>Cột Thao tác</t>
  </si>
  <si>
    <t>Kiểm tra hiển thị bộ icon thao tác</t>
  </si>
  <si>
    <t>1. Kiểm tra cột Thao tác từng dòng gói cước</t>
  </si>
  <si>
    <t>1. Hiển thị 3 icon: (i) Xem chi tiết, ✏ Chỉnh sửa, 🗑 Xoá</t>
  </si>
  <si>
    <t>Mục QL gói cước - UC danh sách gói cước STT 22</t>
  </si>
  <si>
    <t>Kiểm tra click icon (i)</t>
  </si>
  <si>
    <t>1. Click icon (i) tại 1 gói cước</t>
  </si>
  <si>
    <t>1. Điều hướng đến trang Xem chi tiết đúng gói cước đã chọn</t>
  </si>
  <si>
    <t>Kiểm tra click icon ✏</t>
  </si>
  <si>
    <t>1. Click icon ✏ tại 1 gói cước</t>
  </si>
  <si>
    <t>1. Điều hướng đến trang Chỉnh sửa đúng gói cước đã chọn</t>
  </si>
  <si>
    <t>Kiểm tra click icon 🗑</t>
  </si>
  <si>
    <t>1. Click icon 🗑 tại 1 gói cước</t>
  </si>
  <si>
    <t>1. Thực hiện luồng Xoá gói cước theo UC xoá gói cước (hiển thị popup xác nhận)</t>
  </si>
  <si>
    <t>Mục QL gói cước - UC danh sách gói cước STT 22 - UC xoá chưa mô tả chi tiết, Cần BA confirm</t>
  </si>
  <si>
    <t>Kiểm tra icon Xoá theo từng trạng thái gói</t>
  </si>
  <si>
    <t>ĐK: Có gói ở các trạng thái Nháp / Đã phát hành / Đang kinh doanh / Ngừng kinh doanh
1. Kiểm tra icon 🗑 từng dòng</t>
  </si>
  <si>
    <t>1. Theo bảng trạng thái: gói Đang kinh doanh tuyệt đối không được xoá; Nháp được xoá; Đã phát hành/Ngừng kinh doanh chỉ xoá khi chưa phát sinh giao dịch</t>
  </si>
  <si>
    <t>Bảng Trạng thái gói cước - Kỹ thuật: Bảng quyết định. SRS UC danh sách không nêu icon disable hay chặn khi click - Cần BA confirm</t>
  </si>
  <si>
    <t>Link + Thêm gói cước</t>
  </si>
  <si>
    <t>Kiểm tra hiển thị link + Thêm gói cước</t>
  </si>
  <si>
    <t>ĐK: Mở rộng 1 dòng cha
1. Kiểm tra góc dưới bên trái bảng con</t>
  </si>
  <si>
    <t>1. Hiển thị text màu đỏ "+ Thêm gói cước"</t>
  </si>
  <si>
    <t>Mục QL gói cước - UC danh sách gói cước STT 23</t>
  </si>
  <si>
    <t>Kiểm tra click + Thêm gói cước tại bảng con</t>
  </si>
  <si>
    <t>ĐK: Mở rộng loại gói "Plus OA Business"
1. Click "+ Thêm gói cước"</t>
  </si>
  <si>
    <t>1. 
- Điều hướng đến form Tạo gói cước mới
- Trường Loại gói cước tự gán sẵn "Plus OA Business"
- Danh sách tính năng hiển thị theo loại gói đó</t>
  </si>
  <si>
    <t>Mục QL gói cước - UC danh sách gói cước STT 23; Mục QL gói cước - UC2 tạo mới gói cước STT 13 Th1</t>
  </si>
  <si>
    <t>Phân trang</t>
  </si>
  <si>
    <t>Chọn số bản ghi/trang</t>
  </si>
  <si>
    <t>Kiểm tra giá trị mặc định số bản ghi/trang</t>
  </si>
  <si>
    <t>1. Kiểm tra dropdown số bản ghi</t>
  </si>
  <si>
    <t>1. Mặc định hiển thị "10 dòng", mỗi trang tối đa 10 loại gói cước (dòng cha)</t>
  </si>
  <si>
    <t>Mục QL gói cước - UC danh sách gói cước STT 24</t>
  </si>
  <si>
    <t>Kiểm tra danh sách giá trị dropdown số bản ghi</t>
  </si>
  <si>
    <t>1. Click dropdown số bản ghi</t>
  </si>
  <si>
    <t>1. Hiển thị các giá trị: 10, 15, 20, 25</t>
  </si>
  <si>
    <t>Kiểm tra thay đổi số bản ghi/trang</t>
  </si>
  <si>
    <t>ĐK: Đang ở trang 2
1. Chọn 20 dòng</t>
  </si>
  <si>
    <t>1. 
- Tải lại dữ liệu, tự động quay về trang 1
- Hiển thị tối đa 20 loại gói cước/trang</t>
  </si>
  <si>
    <t>Kiểm tra số bản ghi/trang chỉ tính dòng cha</t>
  </si>
  <si>
    <t>ĐK: Có 11 loại gói cước, mỗi loại có nhiều gói con, chọn 10 dòng
1. Mở rộng các dòng cha
2. Kiểm tra trang 1</t>
  </si>
  <si>
    <t>2. Trang 1 hiển thị 10 loại gói cước kèm toàn bộ gói con; loại gói thứ 11 ở trang 2</t>
  </si>
  <si>
    <t>Mục QL gói cước - UC danh sách gói cước STT 24 - Kỹ thuật: Phân tích giá trị biên</t>
  </si>
  <si>
    <t>Thông tin hiển thị</t>
  </si>
  <si>
    <t>Kiểm tra text thông tin số bản ghi</t>
  </si>
  <si>
    <t>ĐK: Có 112 loại gói cước, 10 dòng/trang
1. Kiểm tra text chân trang</t>
  </si>
  <si>
    <t>1. Hiển thị: "Hiển thị 1–10 trong tổng số 112 kết quả"</t>
  </si>
  <si>
    <t>Mục QL gói cước - UC danh sách gói cước STT 25</t>
  </si>
  <si>
    <t>Kiểm tra text thông tin ở trang cuối</t>
  </si>
  <si>
    <t>ĐK: Có 112 loại gói cước, 10 dòng/trang
1. Chuyển đến trang cuối</t>
  </si>
  <si>
    <t>1. Hiển thị: "Hiển thị 111–112 trong tổng số 112 kết quả"</t>
  </si>
  <si>
    <t>Mục QL gói cước - UC danh sách gói cước STT 25 - Kỹ thuật: Phân tích giá trị biên</t>
  </si>
  <si>
    <t>Điều hướng phân trang</t>
  </si>
  <si>
    <t>Kiểm tra nút ← khi ở trang đầu</t>
  </si>
  <si>
    <t>1. Đang ở trang 1
2. Kiểm tra nút ←</t>
  </si>
  <si>
    <t>2. Nút ← bị vô hiệu hoá</t>
  </si>
  <si>
    <t>Mục QL gói cước - UC danh sách gói cước STT 26 - Kỹ thuật: Phân tích giá trị biên</t>
  </si>
  <si>
    <t>Kiểm tra nút → khi ở trang cuối</t>
  </si>
  <si>
    <t>1. Chuyển đến trang cuối
2. Kiểm tra nút →</t>
  </si>
  <si>
    <t>2. Nút → bị vô hiệu hoá</t>
  </si>
  <si>
    <t>Kiểm tra click số trang</t>
  </si>
  <si>
    <t>1. Click số trang 2</t>
  </si>
  <si>
    <t>1. 
- Hiển thị dữ liệu trang 2, nối tiếp trang 1
- Số trang 2 active nền/chữ đỏ</t>
  </si>
  <si>
    <t>Mục QL gói cước - UC danh sách gói cước STT 26</t>
  </si>
  <si>
    <t>Kiểm tra click nút → và ←</t>
  </si>
  <si>
    <t>1. Đang ở trang 1, click →
2. Click ←</t>
  </si>
  <si>
    <t>1. Chuyển sang trang 2
2. Quay lại trang 1</t>
  </si>
  <si>
    <t>Kiểm tra phân trang khi số loại gói ≤ số bản ghi/trang</t>
  </si>
  <si>
    <t>ĐK: Có 10 loại gói cước, chọn 10 dòng
1. Kiểm tra phân trang</t>
  </si>
  <si>
    <t>1. Chỉ có 1 trang, nút ← và → đều bị vô hiệu hoá</t>
  </si>
  <si>
    <t>Kiểm tra hiển thị "..." khi nhiều trang</t>
  </si>
  <si>
    <t>ĐK: Có 15 trang
1. Kiểm tra dãy số trang</t>
  </si>
  <si>
    <t>1. Hiển thị 1, 2, 3, ..., 15 theo design</t>
  </si>
  <si>
    <t>Kiểm tra ngoại lệ &amp; phi chức năng</t>
  </si>
  <si>
    <t>Lỗi mạng</t>
  </si>
  <si>
    <t>Kiểm tra tải danh sách khi mất kết nối mạng</t>
  </si>
  <si>
    <t>1. Ngắt kết nối mạng
2. Truy cập màn hình Quản lý gói cước</t>
  </si>
  <si>
    <t>2. Hiển thị toast "Thất bại. Vui lòng kiểm tra lại kết nối." và cho phép người dùng thử lại</t>
  </si>
  <si>
    <t>Mục QL gói cước - UC danh sách gói cước Exception 2b</t>
  </si>
  <si>
    <t>Kiểm tra thử lại sau khi có mạng trở lại</t>
  </si>
  <si>
    <t>ĐK: Đang hiển thị toast lỗi mạng
1. Bật lại mạng
2. Thực hiện thử lại</t>
  </si>
  <si>
    <t>2. Danh sách tải thành công, hiển thị đúng dữ liệu</t>
  </si>
  <si>
    <t>Lỗi hệ thống</t>
  </si>
  <si>
    <t>Kiểm tra tải danh sách khi API lỗi hệ thống</t>
  </si>
  <si>
    <t>ĐK: API danh sách trả lỗi 500
1. Truy cập màn hình Quản lý gói cước</t>
  </si>
  <si>
    <t>1. Hiển thị toast "Hệ thống bận. Vui lòng thử lại sau." kèm mã lỗi tương ứng, cho phép thử lại</t>
  </si>
  <si>
    <t>Mục QL gói cước - UC danh sách gói cước Exception 2c</t>
  </si>
  <si>
    <t>Phân quyền</t>
  </si>
  <si>
    <t>Kiểm tra truy cập khi tài khoản không có quyền xem phân hệ Gói cước</t>
  </si>
  <si>
    <t>ĐK: Tài khoản Admin không có quyền phân hệ Gói cước
1. Đăng nhập CMS
2. Kiểm tra menu / truy cập trực tiếp URL màn hình</t>
  </si>
  <si>
    <t>2. Không hiển thị menu Quản lý gói cước; truy cập URL trực tiếp bị chặn</t>
  </si>
  <si>
    <t>Mục QL gói cước - UC danh sách gói cước Pre-condition 2, NFR 3.1 - SRS chưa nêu hành vi khi không có quyền, Cần BA confirm</t>
  </si>
  <si>
    <t>Dữ liệu</t>
  </si>
  <si>
    <t>Kiểm tra dữ liệu danh sách khớp với CSDL</t>
  </si>
  <si>
    <t>1. Mở rộng các dòng cha
2. Đối chiếu Mã gói, Chu kỳ, Giá, Kênh bán, Loại hình, Trạng thái với DB</t>
  </si>
  <si>
    <t>2. Dữ liệu hiển thị khớp CSDL; xem danh sách không làm thay đổi dữ liệu</t>
  </si>
  <si>
    <t>Mục QL gói cước - UC danh sách gói cước Post-condition</t>
  </si>
  <si>
    <t>Hiệu năng</t>
  </si>
  <si>
    <t>Kiểm tra thời gian tải danh sách</t>
  </si>
  <si>
    <t>ĐK: Có ≥ 100 loại gói cước
1. Truy cập màn hình Quản lý gói cước
2. Đo thời gian phản hồi API</t>
  </si>
  <si>
    <t>2. API phản hồi &lt; 500ms</t>
  </si>
  <si>
    <t>NFR 1.1</t>
  </si>
  <si>
    <t>UC2: (CMS admin) Chức năng Tạo mới gói cước</t>
  </si>
  <si>
    <t xml:space="preserve">Pre-condition: 
Bước 1: Admin đăng nhập thành công vào CMS với quyền Quản lý gói cước
Bước 2: Hệ thống có ít nhất 01 Loại gói cước trạng thái Đang hoạt động
Bước 3: Click menu Quản lý gói cước &gt; mở rộng 1 loại gói &gt; click "+ Thêm gói cước"
</t>
  </si>
  <si>
    <t>Kiểm tra hiển thị giao diện</t>
  </si>
  <si>
    <t>1. Vào màn Tạo gói cước mới
2. Check hiển thị</t>
  </si>
  <si>
    <t>2. Hiển thị màn Tạo gói cước mới đúng design gồm:
+ Icon Back, tiêu đề "Tạo gói cước mới", button Lưu
+ Khối Thông tin cơ bản: Mã gói cước, Tag, Mô tả, Chu kỳ, Đơn vị, Giá gốc, Đơn vị tính
+ Khối Thuộc tính: Loại hình gói, Kênh bán, Bật/tắt trạng thái và các trường phụ thuộc
+ Khối Danh sách tính năng theo loại gói</t>
  </si>
  <si>
    <t>Mục QL gói cước - UC2 tạo mới gói cước - Mô tả màn hình</t>
  </si>
  <si>
    <t>Kiểm tra khi nhấn Tab</t>
  </si>
  <si>
    <t>1. Thực hiện nhấn nút Tab ở bàn phím máy tính
2. Check hiển thị</t>
  </si>
  <si>
    <t>2. Con trỏ di chuyển lần lượt theo thứ tự: Từ trái qua phải, từ trên xuống dưới</t>
  </si>
  <si>
    <t>Kiểm tra khi nhấn Shift-tab</t>
  </si>
  <si>
    <t>1. Thực hiện nhấn nút Shift-Tab ở bàn phím máy tính
2. Check hiển thị</t>
  </si>
  <si>
    <t>2. Con trỏ di chuyển ngược lại theo thứ tự: từ dưới lên trên, từ phải qua trái</t>
  </si>
  <si>
    <t>1. Thực hiện zoom in, zoom out &gt; check hiển thị</t>
  </si>
  <si>
    <t>1. Hiển thị màn hình phóng to, thu nhỏ không bị xô lệch, vỡ form</t>
  </si>
  <si>
    <t>Kiểm tra tiêu đề</t>
  </si>
  <si>
    <t>1. Kiểm tra text tiêu đề</t>
  </si>
  <si>
    <t>1. Hiển thị tiêu đề text là "Tạo gói cước mới"</t>
  </si>
  <si>
    <t>Theo design</t>
  </si>
  <si>
    <t>Kiểm tra dấu * các trường bắt buộc</t>
  </si>
  <si>
    <t>1. Kiểm tra label các trường</t>
  </si>
  <si>
    <t>1. Hiển thị dấu * đỏ tại: Mã gói cước, Chu kỳ, Đơn vị, Giá gốc, Đơn vị tính, Loại hình gói, Kênh bán, Bật/tắt trạng thái, Loại gói cước, Tham số</t>
  </si>
  <si>
    <t>Mục QL gói cước - UC2 tạo mới gói cước - Design có * tại Mô tả và Tag nhưng SRS ghi Bắt buộc = Không - Cần BA confirm</t>
  </si>
  <si>
    <t>Kiểm tra giá trị mặc định khi mở form</t>
  </si>
  <si>
    <t>1. Kiểm tra giá trị mặc định các trường</t>
  </si>
  <si>
    <t>1. 
- Mã gói, Mô tả, Chu kỳ, Giá gốc, Tag, Kênh bán: rỗng
- Đơn vị: Ngày; Đơn vị tính: VNĐ
- Loại hình gói: Gói chính
- Bật/tắt trạng thái: Thủ công; Trạng thái kinh doanh: Đang kinh doanh
- Số lượng đăng ký giới hạn: rỗng</t>
  </si>
  <si>
    <t>Mục QL gói cước - UC2 tạo mới gói cước - cột Giá trị mặc định. Design đang tick sẵn "Tự động" - Cần BA confirm</t>
  </si>
  <si>
    <t>Kiểm tra button Lưu</t>
  </si>
  <si>
    <t>1. Kiểm tra hiển thị button Lưu</t>
  </si>
  <si>
    <t>1. Hiển thị button "Lưu" góc phải trên, trạng thái enable</t>
  </si>
  <si>
    <t>Mục QL gói cước - UC2 tạo mới gói cước Basic flow B5</t>
  </si>
  <si>
    <t>Kiểm tra validate</t>
  </si>
  <si>
    <t>Kiểm tra trường Mã gói cước</t>
  </si>
  <si>
    <t>Kiểm tra hiển thị mặc định</t>
  </si>
  <si>
    <t>1. Kiểm tra hiển thị</t>
  </si>
  <si>
    <t>1. Hiển thị trường Mã gói cước ban đầu mặc định trống</t>
  </si>
  <si>
    <t>Mục QL gói cước - UC2 tạo mới gói cước STT 1</t>
  </si>
  <si>
    <t>Kiểm tra để trống</t>
  </si>
  <si>
    <t>1. Để trống Mã gói cước
2. Nhập đủ các trường còn lại hợp lệ
3. Click Lưu</t>
  </si>
  <si>
    <t>3. Hiển thị lỗi inline: "Vui lòng nhập thông tin", không lưu gói cước</t>
  </si>
  <si>
    <t>Kiểm tra nhập toàn dấu cách</t>
  </si>
  <si>
    <t>1. Nhập toàn ký tự space
2. Click Lưu</t>
  </si>
  <si>
    <t>2. Hiển thị lỗi inline: "Vui lòng nhập thông tin"</t>
  </si>
  <si>
    <t>"     "</t>
  </si>
  <si>
    <t>Mục QL gói cước - UC2 tạo mới gói cước STT 1 - SRS chưa nêu trim, Cần BA confirm</t>
  </si>
  <si>
    <t>Kiểm tra tự động chuyển chữ thường thành chữ hoa</t>
  </si>
  <si>
    <t>1. Nhập "oaplus30"</t>
  </si>
  <si>
    <t>1. Trường tự động hiển thị "OAPLUS30"</t>
  </si>
  <si>
    <t>oaplus30</t>
  </si>
  <si>
    <t>Kiểm tra tự động bỏ dấu tiếng Việt</t>
  </si>
  <si>
    <t>1. Nhập "gói cước ưu đãi"</t>
  </si>
  <si>
    <t>1. Trường tự động hiển thị dạng viết hoa không dấu: "GOI CUOC UU DAI"</t>
  </si>
  <si>
    <t>gói cước ưu đãi</t>
  </si>
  <si>
    <t>Mục QL gói cước - UC2 tạo mới gói cước STT 1 - SRS chưa nêu có cho phép khoảng trắng trong mã không, Cần BA confirm</t>
  </si>
  <si>
    <t>Kiểm tra nhập ký tự đặc biệt</t>
  </si>
  <si>
    <t>1. Nhập "OA_PLUS-30@#"
2. Check hiển thị</t>
  </si>
  <si>
    <t>2. Hệ thống xử lý theo rule ký tự của mã gói</t>
  </si>
  <si>
    <t>OA_PLUS-30@#</t>
  </si>
  <si>
    <t>Mục QL gói cước - UC2 tạo mới gói cước STT 1 - SRS chưa quy định tập ký tự cho phép, Cần BA confirm</t>
  </si>
  <si>
    <t>Kiểm tra nhập 49 ký tự</t>
  </si>
  <si>
    <t>1. Nhập 49 ký tự
2. Check hiển thị</t>
  </si>
  <si>
    <t>2. Hiển thị đủ 49 ký tự vừa nhập, không báo lỗi</t>
  </si>
  <si>
    <t>Chuỗi 49 ký tự</t>
  </si>
  <si>
    <t>Mục QL gói cước - UC2 tạo mới gói cước STT 1 - Kỹ thuật: Phân tích giá trị biên</t>
  </si>
  <si>
    <t>Kiểm tra nhập 50 ký tự</t>
  </si>
  <si>
    <t>1. Nhập 50 ký tự
2. Check hiển thị</t>
  </si>
  <si>
    <t>2. Hiển thị đủ 50 ký tự vừa nhập, không báo lỗi</t>
  </si>
  <si>
    <t>Chuỗi 50 ký tự</t>
  </si>
  <si>
    <t>Kiểm tra nhập 51 ký tự</t>
  </si>
  <si>
    <t>1. Nhập 51 ký tự
2. Check hiển thị</t>
  </si>
  <si>
    <t>2. Chặn nhập ký tự thứ 51, chỉ cho phép 50 ký tự</t>
  </si>
  <si>
    <t>Chuỗi 51 ký tự</t>
  </si>
  <si>
    <t>Kiểm tra paste chuỗi vượt 50 ký tự</t>
  </si>
  <si>
    <t>ĐK: Đã copy chuỗi 60 ký tự
1. Paste vào trường Mã gói cước</t>
  </si>
  <si>
    <t>1. Chỉ giữ 50 ký tự đầu</t>
  </si>
  <si>
    <t>Chuỗi 60 ký tự</t>
  </si>
  <si>
    <t>Kiểm tra nhập mã trùng với gói cước đang tồn tại</t>
  </si>
  <si>
    <t>ĐK: Đã có gói mã "OAPLUS30" trạng thái Nháp
1. Nhập "OAPLUS30"
2. Nhập đủ trường khác
3. Click Lưu</t>
  </si>
  <si>
    <t>3. Hiển thị lỗi inline: "Mã gói đã được sử dụng", không lưu gói cước</t>
  </si>
  <si>
    <t>Mục QL gói cước - UC2 tạo mới gói cước STT 1, BR04 - Kỹ thuật: Phân vùng tương đương</t>
  </si>
  <si>
    <t>Kiểm tra trùng mã với gói ở trạng thái Đang kinh doanh / Ngừng kinh doanh / Đã phát hành</t>
  </si>
  <si>
    <t>ĐK: Có gói mã A (Đang kinh doanh), B (Ngừng kinh doanh), C (Đã phát hành)
1. Lần lượt nhập mã A, B, C
2. Click Lưu</t>
  </si>
  <si>
    <t>2. Cả 3 trường hợp đều hiển thị lỗi inline: "Mã gói đã được sử dụng"</t>
  </si>
  <si>
    <t>Mục QL gói cước - UC2 tạo mới gói cước BR04 - Kỹ thuật: Phân vùng tương đương</t>
  </si>
  <si>
    <t>Kiểm tra mã trùng với gói cước trạng thái Đã xoá</t>
  </si>
  <si>
    <t>ĐK: Gói mã "OAPLUS60" đã bị xoá
1. Nhập "OAPLUS60"
2. Nhập đủ trường khác
3. Click Lưu</t>
  </si>
  <si>
    <t>3. Cho phép lưu, tạo gói cước thành công</t>
  </si>
  <si>
    <t>OAPLUS60</t>
  </si>
  <si>
    <t>Kiểm tra mã trùng với gói thuộc loại gói khác</t>
  </si>
  <si>
    <t>ĐK: Mã "OAPLUS30" đã tồn tại ở loại gói A
1. Tạo gói trong loại gói B với mã "OAPLUS30"
2. Click Lưu</t>
  </si>
  <si>
    <t>2. Hiển thị lỗi inline: "Mã gói đã được sử dụng" (mã duy nhất toàn hệ thống)</t>
  </si>
  <si>
    <t>Mục QL gói cước - UC2 tạo mới gói cước BR04</t>
  </si>
  <si>
    <t>Kiểm tra mã trùng khi khác chữ hoa/thường</t>
  </si>
  <si>
    <t>ĐK: Mã "OAPLUS30" đã tồn tại
1. Nhập "oaplus30"
2. Click Lưu</t>
  </si>
  <si>
    <t>2. Mã tự chuyển thành "OAPLUS30" và báo lỗi "Mã gói đã được sử dụng"</t>
  </si>
  <si>
    <t>Mục QL gói cước - UC2 tạo mới gói cước STT 1, BR04</t>
  </si>
  <si>
    <t>Kiểm tra copy/paste dữ liệu</t>
  </si>
  <si>
    <t>1. Copy chuỗi hợp lệ từ vùng khác
2. Paste vào Mã gói cước</t>
  </si>
  <si>
    <t>2. Paste dữ liệu thành công, áp dụng rule viết hoa/không dấu</t>
  </si>
  <si>
    <t>Kiểm tra trường Mô tả gói cước</t>
  </si>
  <si>
    <t>1. Hiển thị trường Mô tả dạng textarea, mặc định trống</t>
  </si>
  <si>
    <t>Mục QL gói cước - UC2 tạo mới gói cước STT 2</t>
  </si>
  <si>
    <t>Kiểm tra để trống Mô tả</t>
  </si>
  <si>
    <t>1. Để trống Mô tả
2. Nhập đủ các trường bắt buộc khác
3. Click Lưu</t>
  </si>
  <si>
    <t>3. Cho phép lưu thành công (trường không bắt buộc)</t>
  </si>
  <si>
    <t>Mục QL gói cước - UC2 tạo mới gói cước STT 2 - Mâu thuẫn SRS (Bắt buộc = Không) và design (có *) - Cần BA confirm</t>
  </si>
  <si>
    <t>Kiểm tra nhập 499 ký tự</t>
  </si>
  <si>
    <t>1. Nhập 499 ký tự</t>
  </si>
  <si>
    <t>1. Hiển thị đủ dữ liệu vừa nhập</t>
  </si>
  <si>
    <t>Chuỗi 499 ký tự</t>
  </si>
  <si>
    <t>Mục QL gói cước - UC2 tạo mới gói cước STT 2 - Kỹ thuật: Phân tích giá trị biên</t>
  </si>
  <si>
    <t>Kiểm tra nhập 500 ký tự</t>
  </si>
  <si>
    <t>1. Nhập 500 ký tự</t>
  </si>
  <si>
    <t>Chuỗi 500 ký tự</t>
  </si>
  <si>
    <t>Kiểm tra nhập 501 ký tự</t>
  </si>
  <si>
    <t>1. Nhập 501 ký tự</t>
  </si>
  <si>
    <t>1. Chặn nhập ký tự thứ 501, chỉ cho phép 500 ký tự</t>
  </si>
  <si>
    <t>Chuỗi 501 ký tự</t>
  </si>
  <si>
    <t>Kiểm tra nhập tất cả loại ký tự</t>
  </si>
  <si>
    <t>1. Nhập chuỗi gồm chữ, số, ký tự đặc biệt, tiếng Việt có dấu, emoji
2. Click Lưu</t>
  </si>
  <si>
    <t>2. Cho phép nhập và lưu đúng dữ liệu</t>
  </si>
  <si>
    <t>Gói OA 30 ngày - ưu đãi 50% @#$ 😀</t>
  </si>
  <si>
    <t>Kiểm tra định dạng html gạch đầu dòng</t>
  </si>
  <si>
    <t>1. Nhập mô tả có gạch đầu dòng (định dạng html)
2. Lưu và xem chi tiết</t>
  </si>
  <si>
    <t>2. Mô tả hiển thị đúng định dạng gạch đầu dòng</t>
  </si>
  <si>
    <t>&lt;ul&gt;&lt;li&gt;Quyền lợi 1&lt;/li&gt;&lt;/ul&gt;</t>
  </si>
  <si>
    <t>Kiểm tra nhập mã script</t>
  </si>
  <si>
    <t>1. Nhập "&lt;script&gt;alert(1)&lt;/script&gt;"
2. Lưu và xem chi tiết</t>
  </si>
  <si>
    <t>2. Không thực thi script, hiển thị dạng text</t>
  </si>
  <si>
    <t>&lt;script&gt;alert(1)&lt;/script&gt;</t>
  </si>
  <si>
    <t>Mục QL gói cước - UC2 tạo mới gói cước STT 2 - bảo mật XSS</t>
  </si>
  <si>
    <t>Kiểm tra trường Chu kỳ</t>
  </si>
  <si>
    <t>1. Để trống Chu kỳ
2. Click Lưu</t>
  </si>
  <si>
    <t>Mục QL gói cước - UC2 tạo mới gói cước STT 3</t>
  </si>
  <si>
    <t>Kiểm tra nhập 0</t>
  </si>
  <si>
    <t>1. Nhập 0
2. Click Lưu</t>
  </si>
  <si>
    <t>2. Không cho phép lưu, chu kỳ phải là số nguyên dương &gt; 0</t>
  </si>
  <si>
    <t>0</t>
  </si>
  <si>
    <t>Mục QL gói cước - UC2 tạo mới gói cước STT 3 - Kỹ thuật: Phân tích giá trị biên. SRS chưa nêu message lỗi, Cần BA confirm</t>
  </si>
  <si>
    <t>Kiểm tra nhập 1</t>
  </si>
  <si>
    <t>1. Nhập 1
2. Nhập đủ trường khác
3. Click Lưu</t>
  </si>
  <si>
    <t>3. Cho phép lưu thành công</t>
  </si>
  <si>
    <t>1</t>
  </si>
  <si>
    <t>Mục QL gói cước - UC2 tạo mới gói cước STT 3 - Kỹ thuật: Phân tích giá trị biên</t>
  </si>
  <si>
    <t>Kiểm tra nhập số âm</t>
  </si>
  <si>
    <t>1. Nhập -1</t>
  </si>
  <si>
    <t>1. Chặn không cho nhập dấu "-"</t>
  </si>
  <si>
    <t>-1</t>
  </si>
  <si>
    <t>Mục QL gói cước - UC2 tạo mới gói cước STT 3 - Kỹ thuật: Phân vùng tương đương</t>
  </si>
  <si>
    <t>Kiểm tra nhập số thập phân</t>
  </si>
  <si>
    <t>1. Nhập 1.5</t>
  </si>
  <si>
    <t>1. Chặn không cho nhập (chỉ cho số nguyên)</t>
  </si>
  <si>
    <t>1.5</t>
  </si>
  <si>
    <t>Mục QL gói cước - UC2 tạo mới gói cước STT 3 INT - Kỹ thuật: Phân vùng tương đương</t>
  </si>
  <si>
    <t>Kiểm tra nhập chữ và ký tự đặc biệt</t>
  </si>
  <si>
    <t>1. Nhập "abc@#"</t>
  </si>
  <si>
    <t>1. Chặn không cho nhập</t>
  </si>
  <si>
    <t>abc@#</t>
  </si>
  <si>
    <t>Kiểm tra nhập giá trị lớn</t>
  </si>
  <si>
    <t>1. Nhập 2147483647
2. Nhập 2147483648</t>
  </si>
  <si>
    <t>2. Chặn/báo lỗi khi vượt giới hạn INT</t>
  </si>
  <si>
    <t>2147483647 / 2147483648</t>
  </si>
  <si>
    <t>Mục QL gói cước - UC2 tạo mới gói cước STT 3 INT - Kỹ thuật: Phân tích giá trị biên. SRS chưa nêu max chu kỳ, Cần BA confirm</t>
  </si>
  <si>
    <t>Kiểm tra trùng chu kỳ cùng đơn vị với gói khác cùng loại gói</t>
  </si>
  <si>
    <t>ĐK: Loại gói A đã có gói 30 Ngày
1. Tạo gói thuộc loại gói A: Chu kỳ 30, Đơn vị Ngày
2. Click Lưu</t>
  </si>
  <si>
    <t>2. Hiển thị lỗi: "Đã có gói cùng chu kì thuộc cùng loại gói", không lưu</t>
  </si>
  <si>
    <t>30 Ngày</t>
  </si>
  <si>
    <t>Mục QL gói cước - UC2 tạo mới gói cước STT 3, BR06</t>
  </si>
  <si>
    <t>Kiểm tra trùng chu kỳ sau quy đổi Tháng = Ngày</t>
  </si>
  <si>
    <t>ĐK: Loại gói A đã có gói 30 Ngày
1. Tạo gói thuộc loại gói A: Chu kỳ 1, Đơn vị Tháng
2. Click Lưu</t>
  </si>
  <si>
    <t>2. Hiển thị lỗi: "Đã có gói cùng chu kì thuộc cùng loại gói" (1 tháng = 30 ngày)</t>
  </si>
  <si>
    <t>1 Tháng</t>
  </si>
  <si>
    <t>Mục QL gói cước - UC2 tạo mới gói cước BR05, BR06 - Kỹ thuật: Phân vùng tương đương</t>
  </si>
  <si>
    <t>Kiểm tra trùng chu kỳ sau quy đổi Tuần = Ngày</t>
  </si>
  <si>
    <t>ĐK: Loại gói A đã có gói 14 Ngày
1. Tạo gói thuộc loại gói A: Chu kỳ 2, Đơn vị Tuần
2. Click Lưu</t>
  </si>
  <si>
    <t>2. Hiển thị lỗi: "Đã có gói cùng chu kì thuộc cùng loại gói" (2 tuần = 14 ngày)</t>
  </si>
  <si>
    <t>2 Tuần</t>
  </si>
  <si>
    <t>Kiểm tra trùng chu kỳ sau quy đổi Năm = Tháng</t>
  </si>
  <si>
    <t>ĐK: Loại gói A đã có gói 12 Tháng
1. Tạo gói thuộc loại gói A: Chu kỳ 1, Đơn vị Năm
2. Click Lưu</t>
  </si>
  <si>
    <t>2. Hiển thị lỗi: "Đã có gói cùng chu kì thuộc cùng loại gói" (1 năm = 360 ngày = 12 tháng)</t>
  </si>
  <si>
    <t>1 Năm</t>
  </si>
  <si>
    <t>Kiểm tra chu kỳ lệch 1 ngày so với gói đã có</t>
  </si>
  <si>
    <t>ĐK: Loại gói A đã có gói 1 Tháng (30 ngày)
1. Tạo gói 29 Ngày, Lưu
2. Tạo gói 31 Ngày, Lưu</t>
  </si>
  <si>
    <t>2. Cả 2 gói đều lưu thành công</t>
  </si>
  <si>
    <t>29 Ngày / 31 Ngày</t>
  </si>
  <si>
    <t>Mục QL gói cước - UC2 tạo mới gói cước BR05, BR06 - Kỹ thuật: Phân tích giá trị biên</t>
  </si>
  <si>
    <t>Kiểm tra trùng chu kỳ với gói ở loại gói khác</t>
  </si>
  <si>
    <t>ĐK: Loại gói A đã có gói 30 Ngày
1. Tạo gói thuộc loại gói B: 30 Ngày
2. Click Lưu</t>
  </si>
  <si>
    <t>2. Cho phép lưu thành công</t>
  </si>
  <si>
    <t>Mục QL gói cước - UC2 tạo mới gói cước BR06 - Kỹ thuật: Phân vùng tương đương</t>
  </si>
  <si>
    <t>Kiểm tra trùng chu kỳ với gói cùng loại gói ở các trạng thái</t>
  </si>
  <si>
    <t>ĐK: Loại gói A có gói 30 Ngày lần lượt ở trạng thái Nháp / Đã phát hành / Đang kinh doanh / Ngừng kinh doanh
1. Tạo gói 30 Ngày thuộc loại gói A
2. Click Lưu</t>
  </si>
  <si>
    <t>2. Tất cả trường hợp đều báo lỗi "Đã có gói cùng chu kì thuộc cùng loại gói"</t>
  </si>
  <si>
    <t>Kiểm tra trùng chu kỳ với gói cùng loại gói trạng thái Đã xoá</t>
  </si>
  <si>
    <t>ĐK: Loại gói A có gói 30 Ngày đã bị xoá
1. Tạo gói 30 Ngày thuộc loại gói A
2. Click Lưu</t>
  </si>
  <si>
    <t>Kiểm tra trường Đơn vị (chu kỳ)</t>
  </si>
  <si>
    <t>Kiểm tra giá trị mặc định</t>
  </si>
  <si>
    <t>1. Kiểm tra dropdown Đơn vị</t>
  </si>
  <si>
    <t>1. Mặc định chọn "Ngày"</t>
  </si>
  <si>
    <t>Mục QL gói cước - UC2 tạo mới gói cước STT 4</t>
  </si>
  <si>
    <t>Kiểm tra danh sách giá trị</t>
  </si>
  <si>
    <t>1. Click dropdown Đơn vị</t>
  </si>
  <si>
    <t>1. Hiển thị 4 giá trị: Ngày, Tuần, Tháng, Năm</t>
  </si>
  <si>
    <t>Kiểm tra chọn giá trị</t>
  </si>
  <si>
    <t>1. Chọn "Tháng"</t>
  </si>
  <si>
    <t>1. Hiển thị "Tháng", đóng dropdown; chỉ chọn được 1 giá trị</t>
  </si>
  <si>
    <t>Mục QL gói cước - UC2 tạo mới gói cước STT 4 - Kỹ thuật: Phân vùng tương đương</t>
  </si>
  <si>
    <t>Kiểm tra trường Giá gốc</t>
  </si>
  <si>
    <t>1. Để trống Giá gốc
2. Click Lưu</t>
  </si>
  <si>
    <t>Mục QL gói cước - UC2 tạo mới gói cước STT 5</t>
  </si>
  <si>
    <t>Kiểm tra tự động format dấu phân cách hàng nghìn</t>
  </si>
  <si>
    <t>1. Nhập 1119000</t>
  </si>
  <si>
    <t>1. Hiển thị "1.119.000"</t>
  </si>
  <si>
    <t>1119000</t>
  </si>
  <si>
    <t>2. Không cho phép lưu, giá gốc phải &gt; 0</t>
  </si>
  <si>
    <t>Mục QL gói cước - UC2 tạo mới gói cước STT 5 - Kỹ thuật: Phân tích giá trị biên. Dữ liệu cần lưu ghi original_price ≥ 0, mâu thuẫn STT 5 (&gt; 0) - Cần BA confirm</t>
  </si>
  <si>
    <t>Mục QL gói cước - UC2 tạo mới gói cước STT 5 - Kỹ thuật: Phân tích giá trị biên</t>
  </si>
  <si>
    <t>1. Nhập -1000</t>
  </si>
  <si>
    <t>-1000</t>
  </si>
  <si>
    <t>Mục QL gói cước - UC2 tạo mới gói cước STT 5 - Kỹ thuật: Phân vùng tương đương</t>
  </si>
  <si>
    <t>1. Nhập 1000,5</t>
  </si>
  <si>
    <t>1. Chặn không cho nhập phần thập phân (số tiền nguyên)</t>
  </si>
  <si>
    <t>1000,5</t>
  </si>
  <si>
    <t>Mục QL gói cước - UC2 tạo mới gói cước STT 5 - DECIMAL(15,2) nhưng mô tả "số tiền nguyên dương", Cần BA confirm</t>
  </si>
  <si>
    <t>1. Nhập "abc@"</t>
  </si>
  <si>
    <t>abc@</t>
  </si>
  <si>
    <t>Kiểm tra nhập 13 chữ số</t>
  </si>
  <si>
    <t>1. Nhập 9999999999999</t>
  </si>
  <si>
    <t>1. Hiển thị "9.999.999.999.999", cho phép lưu</t>
  </si>
  <si>
    <t>Mục QL gói cước - UC2 tạo mới gói cước STT 5 DECIMAL(15,2) - Kỹ thuật: Phân tích giá trị biên</t>
  </si>
  <si>
    <t>Kiểm tra nhập 14 chữ số</t>
  </si>
  <si>
    <t>1. Nhập 99999999999999</t>
  </si>
  <si>
    <t>1. Chặn nhập chữ số thứ 14</t>
  </si>
  <si>
    <t>99999999999999</t>
  </si>
  <si>
    <t>Mục QL gói cước - UC2 tạo mới gói cước STT 5 DECIMAL(15,2) - Kỹ thuật: Phân tích giá trị biên, SRS chưa nêu max, Cần BA confirm</t>
  </si>
  <si>
    <t>Kiểm tra trường Đơn vị tính (tiền)</t>
  </si>
  <si>
    <t>Kiểm tra giá trị mặc định và không cho sửa</t>
  </si>
  <si>
    <t>1. Kiểm tra trường Đơn vị tính
2. Click vào trường</t>
  </si>
  <si>
    <t>2. Hiển thị "VNĐ" dạng read-only (nền xám), không sửa được</t>
  </si>
  <si>
    <t>Mục QL gói cước - UC2 tạo mới gói cước STT 6</t>
  </si>
  <si>
    <t>Kiểm tra trường Loại hình gói</t>
  </si>
  <si>
    <t>1. Kiểm tra Loại hình gói</t>
  </si>
  <si>
    <t>1. Mặc định "Gói chính"</t>
  </si>
  <si>
    <t>Mục QL gói cước - UC2 tạo mới gói cước STT 7</t>
  </si>
  <si>
    <t>Kiểm tra danh sách lựa chọn</t>
  </si>
  <si>
    <t>1. Click dropdown Loại hình gói</t>
  </si>
  <si>
    <t>1. Hiển thị 2 lựa chọn: Gói chính, Gói add-on</t>
  </si>
  <si>
    <t>Kiểm tra chọn Gói add-on và lưu</t>
  </si>
  <si>
    <t>1. Chọn "Gói add-on"
2. Nhập đủ trường khác
3. Click Lưu</t>
  </si>
  <si>
    <t>3. Lưu thành công, danh sách hiển thị Loại hình = Add-on</t>
  </si>
  <si>
    <t>Mục QL gói cước - UC2 tạo mới gói cước STT 7 - Kỹ thuật: Phân vùng tương đương</t>
  </si>
  <si>
    <t>Kiểm tra trường Tag</t>
  </si>
  <si>
    <t>Kiểm tra để trống Tag</t>
  </si>
  <si>
    <t>1. Để trống Tag
2. Nhập đủ trường bắt buộc khác
3. Click Lưu</t>
  </si>
  <si>
    <t>Mục QL gói cước - UC2 tạo mới gói cước STT 8 - Mâu thuẫn SRS (Bắt buộc = Không) và design (có *) - Cần BA confirm</t>
  </si>
  <si>
    <t>1. Nhập 50 ký tự</t>
  </si>
  <si>
    <t>1. Hiển thị đủ 50 ký tự</t>
  </si>
  <si>
    <t>Mục QL gói cước - UC2 tạo mới gói cước STT 8 - Kỹ thuật: Phân tích giá trị biên</t>
  </si>
  <si>
    <t>1. Nhập 51 ký tự</t>
  </si>
  <si>
    <t>1. Chặn nhập ký tự thứ 51</t>
  </si>
  <si>
    <t>Mục QL gói cước - UC2 tạo mới gói cước STT 8 - Kỹ thuật: Phân tích giá trị biên. Kiểu VARCHAR(100) nhưng rule chặn 50 ký tự - Cần BA confirm</t>
  </si>
  <si>
    <t>1. Nhập "Giảm 50% khi ra mắt! 🔥"
2. Lưu</t>
  </si>
  <si>
    <t>Giảm 50% khi ra mắt! 🔥</t>
  </si>
  <si>
    <t>Mục QL gói cước - UC2 tạo mới gói cước STT 8</t>
  </si>
  <si>
    <t>Kiểm tra trường Kênh bán (phân phối)</t>
  </si>
  <si>
    <t>1. Click trường Kênh bán</t>
  </si>
  <si>
    <t>1. Hiển thị 2 lựa chọn: Miniapp gói cước Tammi, Web OA</t>
  </si>
  <si>
    <t>Mục QL gói cước - UC2 tạo mới gói cước STT 9</t>
  </si>
  <si>
    <t>Kiểm tra không chọn kênh nào</t>
  </si>
  <si>
    <t>1. Không chọn Kênh bán
2. Click Lưu</t>
  </si>
  <si>
    <t>2. Hiển thị lỗi bắt buộc, không lưu gói cước</t>
  </si>
  <si>
    <t>Mục QL gói cước - UC2 tạo mới gói cước STT 9 - SRS chưa nêu message lỗi, Cần BA confirm</t>
  </si>
  <si>
    <t>Kiểm tra chọn 1 kênh</t>
  </si>
  <si>
    <t>1. Chọn "Web OA"
2. Nhập đủ trường khác
3. Click Lưu</t>
  </si>
  <si>
    <t>3. Lưu thành công, distribution_channels = ["WEB_OA"]</t>
  </si>
  <si>
    <t>Mục QL gói cước - UC2 tạo mới gói cước STT 9 - Kỹ thuật: Phân vùng tương đương</t>
  </si>
  <si>
    <t>Kiểm tra chọn nhiều kênh</t>
  </si>
  <si>
    <t>1. Chọn "Web OA" và "Miniapp gói cước Tammi"
2. Click Lưu</t>
  </si>
  <si>
    <t>2. Lưu thành công, distribution_channels = ["WEB_OA", "MINIAPP_TAMMI"]</t>
  </si>
  <si>
    <t>Kiểm tra bỏ chọn kênh đã chọn</t>
  </si>
  <si>
    <t>1. Chọn "Web OA"
2. Bỏ chọn "Web OA"</t>
  </si>
  <si>
    <t>2. Trường Kênh bán trở về rỗng</t>
  </si>
  <si>
    <t>Kiểm tra trường Bật/tắt trạng thái</t>
  </si>
  <si>
    <t>Kiểm tra chỉ chọn được 1 trong 2 lựa chọn</t>
  </si>
  <si>
    <t>1. Chọn "Thủ công"
2. Chọn "Tự động"</t>
  </si>
  <si>
    <t>2. Chỉ 1 lựa chọn được tick tại 1 thời điểm; chọn Tự động thì Thủ công tự bỏ tick</t>
  </si>
  <si>
    <t>Mục QL gói cước - UC2 tạo mới gói cước STT 10 - Kỹ thuật: Phân vùng tương đương</t>
  </si>
  <si>
    <t>Kiểm tra hiển thị trường khi chọn Thủ công</t>
  </si>
  <si>
    <t>1. Chọn "Thủ công"
2. Kiểm tra các trường phụ thuộc</t>
  </si>
  <si>
    <t>2. 
- Hiển thị trường Trạng thái kinh doanh (Đang kinh doanh / Ngừng kinh doanh)
- Ẩn/không bắt buộc Thời gian bắt đầu, Thời gian kết thúc</t>
  </si>
  <si>
    <t>Kỹ thuật: Bảng quyết định. MÂU THUẪN: BR02 và bảng field ghi Thủ công -&gt; bắt buộc thời gian, Tự động -&gt; chọn trạng thái KD; nhưng bảng Trạng thái gói cước, Dữ liệu cần lưu và design thể hiện ngược lại. TC viết theo design + bảng trạng thái - Cần BA confirm</t>
  </si>
  <si>
    <t>Kiểm tra hiển thị trường khi chọn Tự động</t>
  </si>
  <si>
    <t>1. Chọn "Tự động"
2. Kiểm tra các trường phụ thuộc</t>
  </si>
  <si>
    <t>2. 
- Hiển thị Thời gian bắt đầu *, Thời gian kết thúc *
- Ẩn trường Trạng thái kinh doanh</t>
  </si>
  <si>
    <t>Kỹ thuật: Bảng quyết định. Xem mâu thuẫn BR02 tại TC trên - Cần BA confirm</t>
  </si>
  <si>
    <t>Kiểm tra chuyển Tự động -&gt; Thủ công sau khi đã nhập thời gian</t>
  </si>
  <si>
    <t>1. Chọn Tự động, nhập Thời gian bắt đầu/kết thúc
2. Chuyển sang Thủ công
3. Click Lưu</t>
  </si>
  <si>
    <t>3. Lưu thành công, không validate thời gian; start_time/end_time không lưu</t>
  </si>
  <si>
    <t>Kỹ thuật: Bảng quyết định - Cần BA confirm</t>
  </si>
  <si>
    <t>Kiểm tra trường Trạng thái kinh doanh</t>
  </si>
  <si>
    <t>Kiểm tra giá trị mặc định và lựa chọn</t>
  </si>
  <si>
    <t>ĐK: Bật/tắt trạng thái = Thủ công
1. Kiểm tra trường Trạng thái kinh doanh
2. Click dropdown</t>
  </si>
  <si>
    <t>1. Mặc định "Đang kinh doanh"
2. Hiển thị 2 lựa chọn: Đang kinh doanh, Ngừng kinh doanh</t>
  </si>
  <si>
    <t>Mục QL gói cước - UC2 tạo mới gói cước - trường Trạng thái kinh doanh (không có trong design) - Cần BA confirm</t>
  </si>
  <si>
    <t>Kiểm tra lưu với trạng thái kinh doanh Ngừng kinh doanh</t>
  </si>
  <si>
    <t>ĐK: Thủ công
1. Chọn "Ngừng kinh doanh"
2. Nhập đủ trường khác
3. Click Lưu</t>
  </si>
  <si>
    <t>3. Lưu thành công, gói trạng thái Nháp, Sale_status = PENDING</t>
  </si>
  <si>
    <t>Mục QL gói cước - UC2 tạo mới gói cước BR01 - Kỹ thuật: Phân vùng tương đương</t>
  </si>
  <si>
    <t>Kiểm tra trường Thời gian bắt đầu</t>
  </si>
  <si>
    <t>ĐK: Bật/tắt trạng thái = Tự động
1. Kiểm tra Thời gian bắt đầu</t>
  </si>
  <si>
    <t>1. Mặc định ngày hiện tại</t>
  </si>
  <si>
    <t>Mục QL gói cước - UC2 tạo mới gói cước STT 11 - Mặc định "Ngày hiện tại" nhưng rule yêu cầu &gt; thời điểm hiện tại -&gt; giá trị mặc định luôn không hợp lệ, Cần BA confirm</t>
  </si>
  <si>
    <t>Kiểm tra định dạng hiển thị</t>
  </si>
  <si>
    <t>ĐK: Tự động
1. Chọn thời gian bắt đầu từ date picker</t>
  </si>
  <si>
    <t>1. Hiển thị định dạng DD/MM/YYYY HH:mm:ss</t>
  </si>
  <si>
    <t>25/09/2026 08:00:00</t>
  </si>
  <si>
    <t>Mục QL gói cước - UC2 tạo mới gói cước STT 11 - Design chỉ hiển thị DD/MM/YYYY - Cần BA confirm</t>
  </si>
  <si>
    <t>Kiểm tra để trống khi Tự động</t>
  </si>
  <si>
    <t>ĐK: Tự động
1. Xoá Thời gian bắt đầu
2. Click Lưu</t>
  </si>
  <si>
    <t>Mục QL gói cước - UC2 tạo mới gói cước STT 11 - Kỹ thuật: Bảng quyết định</t>
  </si>
  <si>
    <t>Kiểm tra thời gian bắt đầu nhỏ hơn hiện tại</t>
  </si>
  <si>
    <t>ĐK: Tự động
1. Chọn thời gian bắt đầu = hiện tại - 1 phút
2. Click Lưu</t>
  </si>
  <si>
    <t>2. Không cho phép lưu / không cho chọn thời điểm quá khứ</t>
  </si>
  <si>
    <t>Hiện tại - 1 phút</t>
  </si>
  <si>
    <t>Mục QL gói cước - UC2 tạo mới gói cước STT 11 - Kỹ thuật: Phân tích giá trị biên, SRS chưa nêu message, Cần BA confirm</t>
  </si>
  <si>
    <t>Kiểm tra thời gian bắt đầu bằng hiện tại</t>
  </si>
  <si>
    <t>ĐK: Tự động
1. Chọn thời gian bắt đầu = thời điểm hiện tại
2. Click Lưu</t>
  </si>
  <si>
    <t>2. Không cho phép lưu (yêu cầu &gt; hiện tại)</t>
  </si>
  <si>
    <t>Hiện tại</t>
  </si>
  <si>
    <t>Mục QL gói cước - UC2 tạo mới gói cước STT 11 - Kỹ thuật: Phân tích giá trị biên</t>
  </si>
  <si>
    <t>Kiểm tra thời gian bắt đầu lớn hơn hiện tại</t>
  </si>
  <si>
    <t>ĐK: Tự động
1. Chọn thời gian bắt đầu = hiện tại + 1 phút, kết thúc hợp lệ
2. Click Lưu</t>
  </si>
  <si>
    <t>2. Lưu thành công</t>
  </si>
  <si>
    <t>Hiện tại + 1 phút</t>
  </si>
  <si>
    <t>Kiểm tra trường Thời gian kết thúc</t>
  </si>
  <si>
    <t>ĐK: Tự động
1. Kiểm tra Thời gian kết thúc</t>
  </si>
  <si>
    <t>1. Mặc định rỗng</t>
  </si>
  <si>
    <t>Mục QL gói cước - UC2 tạo mới gói cước STT 12 - Design đang hiển thị sẵn 11/09/2026 - Cần BA confirm</t>
  </si>
  <si>
    <t>ĐK: Tự động
1. Để trống Thời gian kết thúc
2. Click Lưu</t>
  </si>
  <si>
    <t>Mục QL gói cước - UC2 tạo mới gói cước STT 12 - Kỹ thuật: Bảng quyết định</t>
  </si>
  <si>
    <t>Kiểm tra thời gian kết thúc nhỏ hơn thời gian bắt đầu</t>
  </si>
  <si>
    <t>ĐK: Tự động, bắt đầu 01/10/2026 08:00:00
1. Chọn kết thúc 01/10/2026 07:59:59
2. Click Lưu</t>
  </si>
  <si>
    <t>2. Không cho phép lưu, báo lỗi thời gian kết thúc phải &gt; thời gian bắt đầu</t>
  </si>
  <si>
    <t>Mục QL gói cước - UC2 tạo mới gói cước STT 12 - Kỹ thuật: Phân tích giá trị biên, SRS chưa nêu message, Cần BA confirm</t>
  </si>
  <si>
    <t>Kiểm tra thời gian kết thúc bằng thời gian bắt đầu</t>
  </si>
  <si>
    <t>ĐK: Tự động, bắt đầu 01/10/2026 08:00:00
1. Chọn kết thúc 01/10/2026 08:00:00
2. Click Lưu</t>
  </si>
  <si>
    <t>2. Không cho phép lưu</t>
  </si>
  <si>
    <t>Mục QL gói cước - UC2 tạo mới gói cước STT 12 - Kỹ thuật: Phân tích giá trị biên</t>
  </si>
  <si>
    <t>Kiểm tra thời gian kết thúc lớn hơn thời gian bắt đầu 1 giây</t>
  </si>
  <si>
    <t>ĐK: Tự động, bắt đầu 01/10/2026 08:00:00
1. Chọn kết thúc 01/10/2026 08:00:01
2. Click Lưu</t>
  </si>
  <si>
    <t>Kiểm tra nhập tay sai định dạng ngày</t>
  </si>
  <si>
    <t>ĐK: Tự động
1. Nhập tay "31/02/2026" hoặc "abc"</t>
  </si>
  <si>
    <t>1. Không nhận giá trị không hợp lệ, báo lỗi định dạng</t>
  </si>
  <si>
    <t>31/02/2026</t>
  </si>
  <si>
    <t>Mục QL gói cước - UC2 tạo mới gói cước STT 11, 12 - Kỹ thuật: Phân vùng tương đương</t>
  </si>
  <si>
    <t>Kiểm tra trường Số lượng đăng ký giới hạn</t>
  </si>
  <si>
    <t>1. Để trống
2. Nhập đủ trường khác
3. Click Lưu</t>
  </si>
  <si>
    <t>3. Lưu thành công, max_purchase_quantity = null (không giới hạn)</t>
  </si>
  <si>
    <t>Mục QL gói cước - UC2 tạo mới gói cước - trường không có STT, không có trong design - Cần BA confirm</t>
  </si>
  <si>
    <t>2. Lưu thành công, hiểu là không giới hạn</t>
  </si>
  <si>
    <t>Kỹ thuật: Phân tích giá trị biên</t>
  </si>
  <si>
    <t>1. Nhập 1
2. Click Lưu</t>
  </si>
  <si>
    <t>2. Lưu thành công, mỗi user chỉ đăng ký được 1 lần</t>
  </si>
  <si>
    <t>Kiểm tra nhập số âm, thập phân, chữ</t>
  </si>
  <si>
    <t>1. Lần lượt nhập -1, 1.5, "abc"</t>
  </si>
  <si>
    <t>-1 / 1.5 / abc</t>
  </si>
  <si>
    <t>Kỹ thuật: Phân vùng tương đương</t>
  </si>
  <si>
    <t>Kiểm tra trường Loại gói cước</t>
  </si>
  <si>
    <t>Kiểm tra tự gán khi vào từ dòng cha</t>
  </si>
  <si>
    <t>1. Tại danh sách, mở rộng loại gói "Plus OA Business"
2. Click "+ Thêm gói cước"</t>
  </si>
  <si>
    <t>2. Trường Loại gói cước hiển thị "Plus OA Business"</t>
  </si>
  <si>
    <t>Mục QL gói cước - UC2 tạo mới gói cước STT 13 Th1</t>
  </si>
  <si>
    <t>Kiểm tra để trống khi vào từ button Thêm gói cước chung</t>
  </si>
  <si>
    <t>1. Click button "Thêm gói cước" góc phải trên màn danh sách
2. Kiểm tra Loại gói cước</t>
  </si>
  <si>
    <t>2. 
- Trường Loại gói cước rỗng
- Khối Danh sách tính năng chưa hiển thị tính năng</t>
  </si>
  <si>
    <t>Mục QL gói cước - UC2 tạo mới gói cước STT 13 Th2</t>
  </si>
  <si>
    <t>Kiểm tra danh sách loại gói có thể chọn</t>
  </si>
  <si>
    <t>ĐK: Vào từ button Thêm gói cước chung
1. Click trường Loại gói cước</t>
  </si>
  <si>
    <t>1. Hiển thị danh sách loại gói cước trạng thái Đang hoạt động, không có loại gói Đã xoá</t>
  </si>
  <si>
    <t>Mục QL gói cước - UC2 tạo mới gói cước STT 13, Pre-condition 2</t>
  </si>
  <si>
    <t>Kiểm tra để trống loại gói khi lưu</t>
  </si>
  <si>
    <t>ĐK: Vào từ button Thêm gói cước chung
1. Không chọn Loại gói cước
2. Click Lưu</t>
  </si>
  <si>
    <t>2. Hiển thị lỗi bắt buộc, không lưu</t>
  </si>
  <si>
    <t>Mục QL gói cước - UC2 tạo mới gói cước STT 13 - SRS chưa nêu message, Cần BA confirm</t>
  </si>
  <si>
    <t>Kiểm tra đổi loại gói cước</t>
  </si>
  <si>
    <t>1. Chọn loại gói A
2. Đổi sang loại gói B</t>
  </si>
  <si>
    <t>2. Danh sách tính năng thay đổi theo loại gói B, tham số đã nhập của loại gói A bị xoá</t>
  </si>
  <si>
    <t>Mục QL gói cước - UC2 tạo mới gói cước STT 13 - Cần BA confirm</t>
  </si>
  <si>
    <t>Kiểm tra sửa Loại gói cước khi vào từ dòng cha</t>
  </si>
  <si>
    <t>ĐK: Vào từ "+ Thêm gói cước" dòng cha
1. Click trường Loại gói cước</t>
  </si>
  <si>
    <t>1. Trường hiển thị read-only (nền xám) theo design, không đổi được</t>
  </si>
  <si>
    <t>Mục QL gói cước - UC2 tạo mới gói cước STT 13 - Design nền xám - Cần BA confirm</t>
  </si>
  <si>
    <t>Kiểm tra Danh sách tính năng</t>
  </si>
  <si>
    <t>Kiểm tra các cột danh sách tính năng</t>
  </si>
  <si>
    <t>1. Kiểm tra bảng Danh sách tính năng</t>
  </si>
  <si>
    <t>1. Hiển thị các cột: STT, Mã tính năng, Tên tính năng, Nhóm tính năng, Tên tham số</t>
  </si>
  <si>
    <t>Mục QL gói cước - UC2 tạo mới gói cước STT 14-18</t>
  </si>
  <si>
    <t>Kiểm tra danh sách tính năng theo loại gói</t>
  </si>
  <si>
    <t>1. Đối chiếu danh sách tính năng với cấu hình loại gói tại Quản lý loại gói cước</t>
  </si>
  <si>
    <t>1. Hiển thị đủ tất cả tính năng thuộc loại gói, sắp xếp tăng dần theo STT hiển thị</t>
  </si>
  <si>
    <t>Mục QL gói cước - UC2 tạo mới gói cước - Danh sách tính năng</t>
  </si>
  <si>
    <t>Kiểm tra các trường thông tin tính năng read-only</t>
  </si>
  <si>
    <t>1. Click vào Mã tính năng, Nhóm tính năng, Tên tính năng, Mô tả</t>
  </si>
  <si>
    <t>1. Không cho phép chỉnh sửa</t>
  </si>
  <si>
    <t>Mục QL gói cước - UC2 tạo mới gói cước STT 14-17</t>
  </si>
  <si>
    <t>Kiểm tra hiển thị Mô tả tính năng</t>
  </si>
  <si>
    <t>1. Kiểm tra Mô tả tính năng có nội dung dài</t>
  </si>
  <si>
    <t>1. Hiển thị full mô tả, không cắt</t>
  </si>
  <si>
    <t>Mục QL gói cước - UC2 tạo mới gói cước STT 17 - Design không có cột Mô tả - Cần BA confirm</t>
  </si>
  <si>
    <t>Kiểm tra cuộn ngang khi tính năng có nhiều tham số</t>
  </si>
  <si>
    <t>1. Cuộn ngang bảng tính năng</t>
  </si>
  <si>
    <t>1. Hiển thị đủ các ô tham số, không vỡ layout</t>
  </si>
  <si>
    <t>Kiểm tra trường Tham số</t>
  </si>
  <si>
    <t>Kiểm tra label ô tham số</t>
  </si>
  <si>
    <t>1. Kiểm tra label các ô tham số</t>
  </si>
  <si>
    <t>1. Label = Tên tham số + Đơn vị tính, VD "Số cộng đồng (ĐVT: Cộng đồng) *"</t>
  </si>
  <si>
    <t>Mục QL gói cước - UC2 tạo mới gói cước STT 18</t>
  </si>
  <si>
    <t>Kiểm tra thứ tự tham số trong 1 tính năng</t>
  </si>
  <si>
    <t>ĐK: Tính năng có nhiều tham số
1. Kiểm tra thứ tự</t>
  </si>
  <si>
    <t>1. Tham số sắp xếp theo tên A-Z</t>
  </si>
  <si>
    <t>Kiểm tra tính năng không có tham số</t>
  </si>
  <si>
    <t>ĐK: Loại gói có tính năng không có tham số
1. Kiểm tra dòng tính năng đó</t>
  </si>
  <si>
    <t>1. Không hiển thị ô nhập tham số</t>
  </si>
  <si>
    <t>Kiểm tra để trống tham số</t>
  </si>
  <si>
    <t>1. Để trống 1 ô tham số
2. Click Lưu</t>
  </si>
  <si>
    <t>2. Hiển thị lỗi inline: "Vui lòng nhập thông tin" tại ô trống, không lưu</t>
  </si>
  <si>
    <t>Mục QL gói cước - UC2 tạo mới gói cước STT 18, BR03</t>
  </si>
  <si>
    <t>Kiểm tra tham số loại Tiêu hao / Giới hạn đồng thời / Mã đối tác</t>
  </si>
  <si>
    <t>1. Nhập giá trị hợp lệ theo rule tham số
2. Click Lưu</t>
  </si>
  <si>
    <t>2. Lưu thành công, quota_value lưu đúng giá trị</t>
  </si>
  <si>
    <t>11</t>
  </si>
  <si>
    <t>Mục QL gói cước - UC2 tạo mới gói cước STT 18 Th1 - Kỹ thuật: Phân vùng tương đương. Rule chi tiết theo Backlog-Gói cước Tammi [Tổng đài]</t>
  </si>
  <si>
    <t>Kiểm tra tham số loại On/off</t>
  </si>
  <si>
    <t>1. Chọn giá trị Có/Không cho tham số on/off
2. Click Lưu</t>
  </si>
  <si>
    <t>2. Lưu thành công, quota_value = CÓ/KHÔNG</t>
  </si>
  <si>
    <t>Mục QL gói cước - UC2 tạo mới gói cước STT 18 Th2 - Kỹ thuật: Phân vùng tương đương. SRS chưa nêu dạng control, Cần BA confirm</t>
  </si>
  <si>
    <t>Kiểm tra nhập tham số không hợp lệ</t>
  </si>
  <si>
    <t>1. Nhập chữ, số âm, số vượt DECIMAL(12,2) vào ô tham số</t>
  </si>
  <si>
    <t>1. Chặn không cho nhập / báo lỗi theo rule tham số</t>
  </si>
  <si>
    <t>abc / -1 / 10000000000.00</t>
  </si>
  <si>
    <t>Mục QL gói cước - UC2 tạo mới gói cước STT 18 - Kỹ thuật: Phân tích giá trị biên</t>
  </si>
  <si>
    <t>Kiểm tra chức năng</t>
  </si>
  <si>
    <t>Lưu gói cước</t>
  </si>
  <si>
    <t>Kiểm tra tạo mới gói cước thành công với dữ liệu hợp lệ</t>
  </si>
  <si>
    <t>1. Nhập đủ các trường bắt buộc hợp lệ
2. Nhập đủ tham số tính năng
3. Click Lưu</t>
  </si>
  <si>
    <t>3. 
- Hiển thị popup: icon thành công, tiêu đề "Thêm mới gói cước thành công", nội dung "Bạn đã thêm mới gói cước [Mã gói cước vừa tạo]", button Đóng, icon X
- Gói cước được lưu vào CSDL</t>
  </si>
  <si>
    <t>Mã: AUTO_GC_&lt;timestamp&gt;</t>
  </si>
  <si>
    <t>Mục QL gói cước - UC2 tạo mới gói cước Basic flow, Popup thông báo</t>
  </si>
  <si>
    <t>Kiểm tra trạng thái gói sau khi tạo</t>
  </si>
  <si>
    <t>1. Tạo gói thành công
2. Kiểm tra gói trên danh sách</t>
  </si>
  <si>
    <t>2. Gói cước có trạng thái Nháp (DRAFT)</t>
  </si>
  <si>
    <t>Mục QL gói cước - UC2 tạo mới gói cước BR01 - Kỹ thuật: Sơ đồ chuyển trạng thái</t>
  </si>
  <si>
    <t>Kiểm tra dữ liệu gói cước lưu vào CSDL</t>
  </si>
  <si>
    <t>1. Tạo gói thành công
2. Kiểm tra bản ghi plan trong DB</t>
  </si>
  <si>
    <t>2. Lưu đúng: plan_type_id, plan_code, description, billing_cycle_value/unit, original_price, currency = VND, plan_role, marketing_tag, distribution_channels, activation_mode, start_time/end_time hoặc Sale_status, is_renew = FALSE, status = DRAFT, created_by/at, updated_by/at</t>
  </si>
  <si>
    <t>Mục QL gói cước - UC2 tạo mới gói cước - c. Dữ liệu cần lưu</t>
  </si>
  <si>
    <t>Kiểm tra dữ liệu quyền lợi (tính năng + tham số) lưu vào CSDL</t>
  </si>
  <si>
    <t>1. Tạo gói thành công
2. Kiểm tra bảng quyền lợi</t>
  </si>
  <si>
    <t>2. Mỗi tham số sinh 1 bản ghi: plan_id, feature_id, parameter_id, quota_value đúng giá trị đã nhập</t>
  </si>
  <si>
    <t>Mục QL gói cước - UC2 tạo mới gói cước - Bản ghi quyền lợi gói cước</t>
  </si>
  <si>
    <t>Kiểm tra lưu thiếu nhiều trường bắt buộc</t>
  </si>
  <si>
    <t>1. Để trống tất cả trường
2. Click Lưu</t>
  </si>
  <si>
    <t>2. Hiển thị lỗi inline tại tất cả trường bắt buộc cùng lúc, focus về trường lỗi đầu tiên</t>
  </si>
  <si>
    <t>Mục QL gói cước - UC2 tạo mới gói cước Exception 5a</t>
  </si>
  <si>
    <t>Kiểm tra click button Lưu liên tục</t>
  </si>
  <si>
    <t>1. Nhập dữ liệu hợp lệ
2. Click Lưu liên tục nhiều lần</t>
  </si>
  <si>
    <t>2. Chỉ tạo 1 gói cước, không tạo bản ghi trùng</t>
  </si>
  <si>
    <t>NFR 1.3 - chống gửi trùng</t>
  </si>
  <si>
    <t>Kiểm tra gói mới hiển thị trên danh sách</t>
  </si>
  <si>
    <t>1. Tạo gói thành công
2. Quay lại danh sách, mở rộng loại gói tương ứng</t>
  </si>
  <si>
    <t>2. 
- Gói mới hiển thị trong bảng con đúng loại gói, đúng vị trí theo chu kỳ
- Badge số lượng tăng 1
- Người cập nhật = Admin tạo</t>
  </si>
  <si>
    <t>Mục QL gói cước - UC danh sách gói cước STT 9; Mục QL gói cước - UC2 tạo mới gói cước</t>
  </si>
  <si>
    <t>Kiểm tra lưu vết audit</t>
  </si>
  <si>
    <t>1. Tạo gói thành công
2. Kiểm tra log kiểm toán</t>
  </si>
  <si>
    <t>2. Ghi log: người tạo, thời gian, IP, giá trị mới</t>
  </si>
  <si>
    <t>NFR 3.3</t>
  </si>
  <si>
    <t>Popup thông báo thành công</t>
  </si>
  <si>
    <t>Kiểm tra click button Đóng</t>
  </si>
  <si>
    <t>1. Tạo gói thành công
2. Click Đóng</t>
  </si>
  <si>
    <t>2. Đóng popup, chuyển hướng về màn hình Danh sách gói cước</t>
  </si>
  <si>
    <t>Mục QL gói cước - UC2 tạo mới gói cước Popup STT 3 - Basic flow B7 ghi điều hướng về màn Chi tiết gói cước, mâu thuẫn - Cần BA confirm</t>
  </si>
  <si>
    <t>Kiểm tra click icon X</t>
  </si>
  <si>
    <t>1. Tạo gói thành công
2. Click icon X góc trên</t>
  </si>
  <si>
    <t>2. Tương tự button Đóng</t>
  </si>
  <si>
    <t>Mục QL gói cước - UC2 tạo mới gói cước Popup STT 4</t>
  </si>
  <si>
    <t>Button Back</t>
  </si>
  <si>
    <t>Kiểm tra click Back khi đã nhập dữ liệu</t>
  </si>
  <si>
    <t>1. Nhập một số trường
2. Click icon Back (←)</t>
  </si>
  <si>
    <t>2. Hiển thị popup xác nhận: tiêu đề "Huỷ tạo mới gói cước", nội dung "Các thông tin đã nhập sẽ không được lưu. Bạn có chắc chắn muốn thoát?", button Quay lại, Xác nhận</t>
  </si>
  <si>
    <t>Mục QL gói cước - UC2 tạo mới gói cước AF01, Popup confirm huỷ</t>
  </si>
  <si>
    <t>Kiểm tra click Back khi chưa nhập dữ liệu</t>
  </si>
  <si>
    <t>1. Không nhập gì
2. Click icon Back</t>
  </si>
  <si>
    <t>2. Hiển thị popup xác nhận huỷ (AF01 áp dụng tại bất kỳ bước nào)</t>
  </si>
  <si>
    <t>Mục QL gói cước - UC2 tạo mới gói cước AF01 - Cần BA confirm</t>
  </si>
  <si>
    <t>Kiểm tra click Xác nhận trên popup huỷ</t>
  </si>
  <si>
    <t>1. Nhập dữ liệu
2. Click Back
3. Click Xác nhận</t>
  </si>
  <si>
    <t>3. Đóng popup, quay về Danh sách gói cước, không lưu dữ liệu, không phát sinh bản ghi mới</t>
  </si>
  <si>
    <t>Mục QL gói cước - UC2 tạo mới gói cước AF01 - Kỹ thuật: Sơ đồ chuyển trạng thái</t>
  </si>
  <si>
    <t>Kiểm tra click Quay lại trên popup huỷ</t>
  </si>
  <si>
    <t>1. Nhập dữ liệu
2. Click Back
3. Click Quay lại</t>
  </si>
  <si>
    <t>3. Đóng popup, ở lại form, dữ liệu đã nhập được giữ nguyên</t>
  </si>
  <si>
    <t>Kiểm tra dùng nút Back của trình duyệt</t>
  </si>
  <si>
    <t>1. Nhập dữ liệu
2. Click Back của trình duyệt</t>
  </si>
  <si>
    <t>2. Xử lý tương tự icon Back (hiển thị popup xác nhận huỷ)</t>
  </si>
  <si>
    <t>SRS chưa mô tả - Cần BA confirm</t>
  </si>
  <si>
    <t>Lỗi mạng / hệ thống</t>
  </si>
  <si>
    <t>Kiểm tra lưu khi mất mạng</t>
  </si>
  <si>
    <t>1. Nhập dữ liệu hợp lệ
2. Ngắt mạng
3. Click Lưu</t>
  </si>
  <si>
    <t>3. Hiển thị toast "Thất bại. Vui lòng kiểm tra lại kết nối.", giữ dữ liệu trên form, cho phép thử lại</t>
  </si>
  <si>
    <t>Mục QL gói cước - UC2 tạo mới gói cước Exception 7a</t>
  </si>
  <si>
    <t>Kiểm tra lưu khi API lỗi hệ thống</t>
  </si>
  <si>
    <t>ĐK: API tạo gói trả lỗi 500
1. Click Lưu</t>
  </si>
  <si>
    <t>1. Hiển thị toast "Hệ thống bận. Vui lòng thử lại sau." kèm mã lỗi, cho phép thử lại</t>
  </si>
  <si>
    <t>Mục QL gói cước - UC2 tạo mới gói cước Exception 7b</t>
  </si>
  <si>
    <t>Kiểm tra tranh chấp: 2 admin cùng tạo gói trùng mã</t>
  </si>
  <si>
    <t>ĐK: Admin A và B cùng mở form
1. Cả 2 nhập mã "OAPLUS90" và đủ các trường hợp lệ
2. Admin A click Lưu
3. Admin B click Lưu</t>
  </si>
  <si>
    <t>2. Admin A tạo gói cước thành công
3. Admin B nhận lỗi inline "Mã gói đã được sử dụng", không tạo gói</t>
  </si>
  <si>
    <t>Mục QL gói cước - UC2 tạo mới gói cước BR04 - Kỹ thuật: Sơ đồ chuyển trạng thái (tranh chấp)</t>
  </si>
  <si>
    <t>Kiểm tra tranh chấp: loại gói bị xoá khi đang tạo gói</t>
  </si>
  <si>
    <t>ĐK: Đang mở form tạo gói thuộc loại gói A
1. Admin khác xoá loại gói A
2. Click Lưu</t>
  </si>
  <si>
    <t>2. Không cho phép lưu, hiển thị thông báo lỗi</t>
  </si>
  <si>
    <t>Pre-condition 2 - SRS chưa mô tả, Cần BA confirm</t>
  </si>
  <si>
    <t>Kiểm tra tạo gói khi không có quyền Quản lý gói cước</t>
  </si>
  <si>
    <t>ĐK: Tài khoản không có quyền
1. Truy cập trực tiếp URL tạo gói cước</t>
  </si>
  <si>
    <t>1. Bị chặn truy cập</t>
  </si>
  <si>
    <t>Mục QL gói cước - UC2 tạo mới gói cước Pre-condition 1, NFR 3.1 - Cần BA confirm</t>
  </si>
  <si>
    <t>1. BẢNG QUYẾT ĐỊNH - Hiển thị thông tin dòng cha theo Loại dịch vụ (UC1 STT 11, 12)</t>
  </si>
  <si>
    <t>Điều kiện / Thành phần</t>
  </si>
  <si>
    <t>R1</t>
  </si>
  <si>
    <t>R2</t>
  </si>
  <si>
    <t>R3</t>
  </si>
  <si>
    <t>Loại dịch vụ = OA</t>
  </si>
  <si>
    <t>Y</t>
  </si>
  <si>
    <t>N</t>
  </si>
  <si>
    <t>Chuỗi hiển thị &gt; 20 ký tự</t>
  </si>
  <si>
    <t>-</t>
  </si>
  <si>
    <t>Hiện đầy đủ</t>
  </si>
  <si>
    <t>Ẩn</t>
  </si>
  <si>
    <t>Hiện 20 ký tự + "…"</t>
  </si>
  <si>
    <t>2. BẢNG QUYẾT ĐỊNH - Trường phụ thuộc "Bật/tắt trạng thái" (UC2 STT 10-12) - theo design + bảng Trạng thái gói cước, BR02 đang ngược -&gt; BA confirm</t>
  </si>
  <si>
    <t>Thủ công</t>
  </si>
  <si>
    <t>Tự động</t>
  </si>
  <si>
    <t>Trạng thái kinh doanh</t>
  </si>
  <si>
    <t>Hiện, bắt buộc (mặc định Đang kinh doanh)</t>
  </si>
  <si>
    <t>Thời gian bắt đầu</t>
  </si>
  <si>
    <t>Ẩn / không bắt buộc</t>
  </si>
  <si>
    <t>Hiện, bắt buộc, &gt; hiện tại</t>
  </si>
  <si>
    <t>Thời gian kết thúc</t>
  </si>
  <si>
    <t>Hiện, bắt buộc, &gt; Thời gian bắt đầu</t>
  </si>
  <si>
    <t>Dữ liệu lưu</t>
  </si>
  <si>
    <t>Sale_status</t>
  </si>
  <si>
    <t>start_time, end_time</t>
  </si>
  <si>
    <t>3. BẢNG QUYẾT ĐỊNH - Validate trùng Mã gói / Chu kỳ (UC2 BR04, BR06)</t>
  </si>
  <si>
    <t>Gói đã tồn tại</t>
  </si>
  <si>
    <t>Cùng loại gói?</t>
  </si>
  <si>
    <t>Trạng thái gói đã tồn tại</t>
  </si>
  <si>
    <t>Kết quả</t>
  </si>
  <si>
    <t>Trùng mã</t>
  </si>
  <si>
    <t>Bất kỳ</t>
  </si>
  <si>
    <t>Nháp / Đã phát hành / Đang KD / Ngừng KD</t>
  </si>
  <si>
    <t>Lỗi "Mã gói đã được sử dụng"</t>
  </si>
  <si>
    <t>Đã xoá</t>
  </si>
  <si>
    <t>Cho phép lưu</t>
  </si>
  <si>
    <t>Trùng chu kỳ (quy đổi ngày)</t>
  </si>
  <si>
    <t>Có</t>
  </si>
  <si>
    <t>Lỗi "Đã có gói cùng chu kì thuộc cùng loại gói"</t>
  </si>
  <si>
    <t>Không</t>
  </si>
  <si>
    <t>4. PHÂN VÙNG TƯƠNG ĐƯƠNG - Quy đổi chu kỳ (BR05: 1 tuần = 7, 1 tháng = 30, 1 năm = 360 ngày)</t>
  </si>
  <si>
    <t>Gói đã có</t>
  </si>
  <si>
    <t>Gói tạo mới</t>
  </si>
  <si>
    <t>Quy đổi (ngày)</t>
  </si>
  <si>
    <t>30 = 30</t>
  </si>
  <si>
    <t>Trùng -&gt; lỗi</t>
  </si>
  <si>
    <t>14 Ngày</t>
  </si>
  <si>
    <t>14 = 14</t>
  </si>
  <si>
    <t>12 Tháng</t>
  </si>
  <si>
    <t>360 = 360</t>
  </si>
  <si>
    <t>30 ≠ 29 / 31</t>
  </si>
  <si>
    <t>Hợp lệ</t>
  </si>
  <si>
    <t>5. PHÂN TÍCH GIÁ TRỊ BIÊN</t>
  </si>
  <si>
    <t>Ràng buộc</t>
  </si>
  <si>
    <t>Dưới biên</t>
  </si>
  <si>
    <t>Tại biên</t>
  </si>
  <si>
    <t>Trên biên</t>
  </si>
  <si>
    <t>Mã gói cước tối đa 50 ký tự</t>
  </si>
  <si>
    <t>49 (hợp lệ)</t>
  </si>
  <si>
    <t>50 (hợp lệ)</t>
  </si>
  <si>
    <t>51 (bị chặn)</t>
  </si>
  <si>
    <t>Mô tả tối đa 500 ký tự</t>
  </si>
  <si>
    <t>499 (hợp lệ)</t>
  </si>
  <si>
    <t>500 (hợp lệ)</t>
  </si>
  <si>
    <t>501 (bị chặn)</t>
  </si>
  <si>
    <t>Tag tối đa 50 ký tự</t>
  </si>
  <si>
    <t>49</t>
  </si>
  <si>
    <t>Chu kỳ &gt; 0</t>
  </si>
  <si>
    <t>0 (lỗi)</t>
  </si>
  <si>
    <t>1 (hợp lệ)</t>
  </si>
  <si>
    <t>2 (hợp lệ)</t>
  </si>
  <si>
    <t>Giá gốc &gt; 0, DECIMAL(15,2)</t>
  </si>
  <si>
    <t>1 (hợp lệ) / 13 chữ số (hợp lệ)</t>
  </si>
  <si>
    <t>14 chữ số (bị chặn)</t>
  </si>
  <si>
    <t>Thời gian bắt đầu &gt; hiện tại</t>
  </si>
  <si>
    <t>Hiện tại - 1 phút (lỗi)</t>
  </si>
  <si>
    <t>Hiện tại (lỗi)</t>
  </si>
  <si>
    <t>Hiện tại + 1 phút (hợp lệ)</t>
  </si>
  <si>
    <t>Thời gian kết thúc &gt; bắt đầu</t>
  </si>
  <si>
    <t>Bắt đầu - 1s (lỗi)</t>
  </si>
  <si>
    <t>Bằng bắt đầu (lỗi)</t>
  </si>
  <si>
    <t>Bắt đầu + 1s (hợp lệ)</t>
  </si>
  <si>
    <t>Số lượng đăng ký giới hạn (0/null = không giới hạn)</t>
  </si>
  <si>
    <t>-1 (bị chặn)</t>
  </si>
  <si>
    <t>0 (không giới hạn)</t>
  </si>
  <si>
    <t>1 (giới hạn 1 lần)</t>
  </si>
  <si>
    <t>Text dòng cha cắt khi &gt; 20 ký tự</t>
  </si>
  <si>
    <t>19</t>
  </si>
  <si>
    <t>20 (hiện đủ)</t>
  </si>
  <si>
    <t>21 (cắt "…")</t>
  </si>
  <si>
    <t>Phân trang 10 dòng/trang</t>
  </si>
  <si>
    <t>10 loại gói (1 trang)</t>
  </si>
  <si>
    <t>11 loại gói (2 trang)</t>
  </si>
  <si>
    <t>112 loại gói (trang cuối 111-112)</t>
  </si>
  <si>
    <t>Badge số lượng gói</t>
  </si>
  <si>
    <t>1..n (không tính Đã xoá)</t>
  </si>
  <si>
    <t>6. SƠ ĐỒ CHUYỂN TRẠNG THÁI - Gói cước (bảng Trạng thái gói cước)</t>
  </si>
  <si>
    <t>Trạng thái hiện tại</t>
  </si>
  <si>
    <t>Sự kiện</t>
  </si>
  <si>
    <t>Trạng thái kế tiếp</t>
  </si>
  <si>
    <t>TC liên quan</t>
  </si>
  <si>
    <t>(chưa có)</t>
  </si>
  <si>
    <t>Tạo mới thành công (UC2)</t>
  </si>
  <si>
    <t>Nháp</t>
  </si>
  <si>
    <t>UC2 - Kiểm tra trạng thái gói sau khi tạo</t>
  </si>
  <si>
    <t>(form đang nhập)</t>
  </si>
  <si>
    <t>Back -&gt; Xác nhận</t>
  </si>
  <si>
    <t>Không tạo bản ghi</t>
  </si>
  <si>
    <t>UC2 - Popup huỷ Xác nhận</t>
  </si>
  <si>
    <t>Back -&gt; Quay lại</t>
  </si>
  <si>
    <t>Giữ form</t>
  </si>
  <si>
    <t>UC2 - Popup huỷ Quay lại</t>
  </si>
  <si>
    <t>Phát hành, hiện tại &lt; thời gian bắt đầu</t>
  </si>
  <si>
    <t>Đã phát hành</t>
  </si>
  <si>
    <t>UC1 - hiển thị pill trạng thái</t>
  </si>
  <si>
    <t>Tự động: hiện tại &gt;= thời gian bắt đầu</t>
  </si>
  <si>
    <t>Đang kinh doanh</t>
  </si>
  <si>
    <t>UC1 - trạng thái tự cập nhật</t>
  </si>
  <si>
    <t>Hiện tại &gt;= thời gian kết thúc / chuyển thủ công</t>
  </si>
  <si>
    <t>Ngừng kinh doanh</t>
  </si>
  <si>
    <t>UC1 - pill Ngừng kinh doanh</t>
  </si>
  <si>
    <t>Nháp / Đã phát hành / Ngừng KD (chưa có giao dịch)</t>
  </si>
  <si>
    <t>Xoá</t>
  </si>
  <si>
    <t>Đã xoá (ẩn khỏi danh sách)</t>
  </si>
  <si>
    <t>UC1 - không hiển thị gói Đã xoá, badge</t>
  </si>
  <si>
    <t>Xoá (KHÔNG hợp lệ)</t>
  </si>
  <si>
    <t>Giữ nguyên</t>
  </si>
  <si>
    <t>UC1 - icon xoá theo trạng thái</t>
  </si>
  <si>
    <t>Loại gói: Đang hoạt động</t>
  </si>
  <si>
    <t>Xoá loại gói</t>
  </si>
  <si>
    <t>Đã xoá (ẩn dòng cha)</t>
  </si>
  <si>
    <t>UC1 - loại gói bị xoá biến mất</t>
  </si>
  <si>
    <t>Dòng cha: Thu gọn</t>
  </si>
  <si>
    <t>Click ⌄</t>
  </si>
  <si>
    <t>Mở rộng</t>
  </si>
  <si>
    <t>UC1 - Nút Đóng/Mở rộng</t>
  </si>
  <si>
    <t>Dòng cha: Mở rộng</t>
  </si>
  <si>
    <t>Click ⌃ / F5</t>
  </si>
  <si>
    <t>Thu gọn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</si>
</sst>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10" x14ac:knownFonts="1">
    <font>
      <sz val="10"/>
      <color rgb="FF000000"/>
      <name val="Arial"/>
      <scheme val="minor"/>
    </font>
    <font>
      <sz val="10"/>
      <color theme="1"/>
      <name val="Arial"/>
    </font>
    <font>
      <sz val="12"/>
      <color theme="1"/>
      <name val="Times New Roman"/>
    </font>
    <font>
      <b/>
      <sz val="12"/>
      <color rgb="FF000000"/>
      <name val="Times New Roman"/>
    </font>
    <font>
      <b/>
      <sz val="12"/>
      <color theme="1"/>
      <name val="Times New Roman"/>
    </font>
    <font>
      <sz val="12"/>
      <color rgb="FF000000"/>
      <name val="Times New Roman"/>
    </font>
    <font>
      <u/>
      <sz val="12"/>
      <color theme="1"/>
      <name val="Times New Roman"/>
    </font>
    <font>
      <b/>
      <sz val="13"/>
      <name val="Times New Roman"/>
    </font>
    <font>
      <b/>
      <sz val="12"/>
      <name val="Times New Roman"/>
    </font>
    <font>
      <sz val="12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D8D8D8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wrapText="1"/>
    </xf>
    <xf numFmtId="0" fontId="5" fillId="2" borderId="3" xfId="0" applyFont="1" applyFill="1" applyBorder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165" fontId="1" fillId="0" borderId="1" xfId="0" applyNumberFormat="1" applyFont="1" applyBorder="1" applyAlignment="1">
      <alignment vertical="top" wrapText="1"/>
    </xf>
    <xf numFmtId="0" fontId="7" fillId="0" borderId="0" xfId="0" applyFont="1"/>
    <xf numFmtId="0" fontId="8" fillId="6" borderId="8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top" wrapText="1"/>
    </xf>
    <xf numFmtId="0" fontId="0" fillId="0" borderId="6" xfId="0" applyBorder="1"/>
    <xf numFmtId="0" fontId="0" fillId="0" borderId="7" xfId="0" applyBorder="1"/>
    <xf numFmtId="0" fontId="3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vertical="top" wrapText="1"/>
    </xf>
    <xf numFmtId="0" fontId="0" fillId="0" borderId="4" xfId="0" applyBorder="1"/>
    <xf numFmtId="0" fontId="0" fillId="0" borderId="5" xfId="0" applyBorder="1"/>
    <xf numFmtId="0" fontId="4" fillId="2" borderId="1" xfId="0" applyFont="1" applyFill="1" applyBorder="1" applyAlignment="1">
      <alignment vertical="top" wrapText="1"/>
    </xf>
    <xf numFmtId="0" fontId="3" fillId="2" borderId="5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3" fillId="4" borderId="7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vertical="top" wrapText="1"/>
    </xf>
    <xf numFmtId="0" fontId="3" fillId="3" borderId="7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3" xfId="0" applyBorder="1"/>
    <xf numFmtId="0" fontId="3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2"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45"/>
  <sheetViews>
    <sheetView tabSelected="1" topLeftCell="A115" workbookViewId="0">
      <selection activeCell="L2" sqref="L1:L1048576"/>
    </sheetView>
  </sheetViews>
  <sheetFormatPr defaultColWidth="12.5703125" defaultRowHeight="15" customHeight="1" x14ac:dyDescent="0.2"/>
  <cols>
    <col min="1" max="1" width="12.5703125" customWidth="1"/>
    <col min="2" max="2" width="21" customWidth="1"/>
    <col min="3" max="3" width="45.85546875" customWidth="1"/>
    <col min="4" max="4" width="51.28515625" customWidth="1"/>
    <col min="5" max="5" width="48.140625" customWidth="1"/>
    <col min="6" max="6" width="21.42578125" hidden="1" customWidth="1"/>
    <col min="7" max="8" width="11" hidden="1" customWidth="1"/>
    <col min="9" max="9" width="13" hidden="1" customWidth="1"/>
    <col min="10" max="10" width="12.5703125" hidden="1" customWidth="1"/>
    <col min="12" max="12" width="0" hidden="1" customWidth="1"/>
    <col min="13" max="13" width="33" customWidth="1"/>
  </cols>
  <sheetData>
    <row r="1" spans="1:29" ht="15.75" x14ac:dyDescent="0.25">
      <c r="A1" s="32"/>
      <c r="B1" s="33"/>
      <c r="C1" s="27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5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31.5" x14ac:dyDescent="0.25">
      <c r="A2" s="34" t="s">
        <v>1</v>
      </c>
      <c r="B2" s="25"/>
      <c r="C2" s="2" t="s">
        <v>2</v>
      </c>
      <c r="D2" s="3"/>
      <c r="E2" s="3"/>
      <c r="F2" s="3"/>
      <c r="G2" s="3"/>
      <c r="H2" s="3"/>
      <c r="I2" s="3"/>
      <c r="J2" s="3"/>
      <c r="K2" s="3"/>
      <c r="L2" s="3"/>
      <c r="M2" s="3"/>
      <c r="N2" s="7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63" x14ac:dyDescent="0.25">
      <c r="A3" s="34" t="s">
        <v>3</v>
      </c>
      <c r="B3" s="25"/>
      <c r="C3" s="6" t="s">
        <v>4</v>
      </c>
      <c r="D3" s="3"/>
      <c r="E3" s="3"/>
      <c r="F3" s="7"/>
      <c r="G3" s="3"/>
      <c r="H3" s="3"/>
      <c r="I3" s="3"/>
      <c r="J3" s="3"/>
      <c r="K3" s="3"/>
      <c r="L3" s="3"/>
      <c r="M3" s="3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x14ac:dyDescent="0.25">
      <c r="A4" s="8" t="s">
        <v>5</v>
      </c>
      <c r="B4" s="8"/>
      <c r="C4" s="4" t="s">
        <v>6</v>
      </c>
      <c r="D4" s="3"/>
      <c r="E4" s="3"/>
      <c r="F4" s="7"/>
      <c r="G4" s="3"/>
      <c r="H4" s="3"/>
      <c r="I4" s="3"/>
      <c r="J4" s="3"/>
      <c r="K4" s="3"/>
      <c r="L4" s="3"/>
      <c r="M4" s="3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5.75" x14ac:dyDescent="0.25">
      <c r="A5" s="34" t="s">
        <v>7</v>
      </c>
      <c r="B5" s="25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.75" x14ac:dyDescent="0.25">
      <c r="A6" s="34" t="s">
        <v>8</v>
      </c>
      <c r="B6" s="25"/>
      <c r="C6" s="9">
        <f>COUNTIF(A12:A257,"*TC*")</f>
        <v>233</v>
      </c>
      <c r="D6" s="3"/>
      <c r="E6" s="3"/>
      <c r="F6" s="3"/>
      <c r="G6" s="3"/>
      <c r="H6" s="3"/>
      <c r="I6" s="3"/>
      <c r="J6" s="3"/>
      <c r="K6" s="3"/>
      <c r="L6" s="3"/>
      <c r="M6" s="3"/>
      <c r="N6" s="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.75" x14ac:dyDescent="0.25">
      <c r="A7" s="26" t="s">
        <v>9</v>
      </c>
      <c r="B7" s="25"/>
      <c r="C7" s="5">
        <f>COUNTIF($K$15:$K$257,"Pass")</f>
        <v>0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.75" x14ac:dyDescent="0.25">
      <c r="A8" s="26" t="s">
        <v>10</v>
      </c>
      <c r="B8" s="25"/>
      <c r="C8" s="5">
        <f>COUNTIF($K$15:$K$257,"Fail")</f>
        <v>0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.75" x14ac:dyDescent="0.25">
      <c r="A9" s="26" t="s">
        <v>11</v>
      </c>
      <c r="B9" s="25"/>
      <c r="C9" s="5">
        <f>COUNTIF($K$15:$K$257,"N/A")</f>
        <v>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7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.75" x14ac:dyDescent="0.25">
      <c r="A10" s="21" t="s">
        <v>5</v>
      </c>
      <c r="B10" s="21" t="s">
        <v>1</v>
      </c>
      <c r="C10" s="21" t="s">
        <v>12</v>
      </c>
      <c r="D10" s="21" t="s">
        <v>13</v>
      </c>
      <c r="E10" s="21" t="s">
        <v>14</v>
      </c>
      <c r="F10" s="21" t="s">
        <v>15</v>
      </c>
      <c r="G10" s="22" t="s">
        <v>16</v>
      </c>
      <c r="H10" s="21" t="s">
        <v>17</v>
      </c>
      <c r="I10" s="31" t="s">
        <v>18</v>
      </c>
      <c r="J10" s="29" t="s">
        <v>19</v>
      </c>
      <c r="K10" s="31" t="s">
        <v>20</v>
      </c>
      <c r="L10" s="31" t="s">
        <v>21</v>
      </c>
      <c r="M10" s="31" t="s">
        <v>22</v>
      </c>
      <c r="N10" s="7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.75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7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20.100000000000001" customHeight="1" x14ac:dyDescent="0.2">
      <c r="A12" s="30" t="s">
        <v>23</v>
      </c>
      <c r="B12" s="24"/>
      <c r="C12" s="25"/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spans="1:29" ht="63.95" customHeight="1" x14ac:dyDescent="0.2">
      <c r="A13" s="23" t="s">
        <v>24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5"/>
    </row>
    <row r="14" spans="1:29" ht="20.100000000000001" customHeight="1" x14ac:dyDescent="0.2">
      <c r="A14" s="28" t="s">
        <v>25</v>
      </c>
      <c r="B14" s="24"/>
      <c r="C14" s="24"/>
      <c r="D14" s="24"/>
      <c r="E14" s="24"/>
      <c r="F14" s="24"/>
      <c r="G14" s="24"/>
      <c r="H14" s="24"/>
      <c r="I14" s="24"/>
      <c r="J14" s="24"/>
      <c r="K14" s="25"/>
      <c r="L14" s="13"/>
      <c r="M14" s="13"/>
    </row>
    <row r="15" spans="1:29" ht="111.95" customHeight="1" x14ac:dyDescent="0.2">
      <c r="A15" s="12" t="str">
        <f>$C$4&amp;"-"&amp;TEXT(COUNTA($D$12:D15),"00")</f>
        <v>TC-01</v>
      </c>
      <c r="B15" s="18" t="s">
        <v>26</v>
      </c>
      <c r="C15" s="6" t="s">
        <v>27</v>
      </c>
      <c r="D15" s="6" t="s">
        <v>28</v>
      </c>
      <c r="E15" s="6" t="s">
        <v>29</v>
      </c>
      <c r="F15" s="13"/>
      <c r="G15" s="14" t="s">
        <v>30</v>
      </c>
      <c r="H15" s="13"/>
      <c r="I15" s="13"/>
      <c r="J15" s="13"/>
      <c r="K15" s="13"/>
      <c r="L15" s="13"/>
      <c r="M15" s="13" t="s">
        <v>31</v>
      </c>
    </row>
    <row r="16" spans="1:29" ht="96" customHeight="1" x14ac:dyDescent="0.2">
      <c r="A16" s="12" t="str">
        <f>$C$4&amp;"-"&amp;TEXT(COUNTA($D$12:D16),"00")</f>
        <v>TC-02</v>
      </c>
      <c r="B16" s="19"/>
      <c r="C16" s="6" t="s">
        <v>32</v>
      </c>
      <c r="D16" s="6" t="s">
        <v>33</v>
      </c>
      <c r="E16" s="6" t="s">
        <v>34</v>
      </c>
      <c r="F16" s="13"/>
      <c r="G16" s="14" t="s">
        <v>30</v>
      </c>
      <c r="H16" s="13"/>
      <c r="I16" s="13"/>
      <c r="J16" s="13"/>
      <c r="K16" s="13"/>
      <c r="L16" s="13"/>
      <c r="M16" s="13"/>
    </row>
    <row r="17" spans="1:13" ht="32.1" customHeight="1" x14ac:dyDescent="0.2">
      <c r="A17" s="12" t="str">
        <f>$C$4&amp;"-"&amp;TEXT(COUNTA($D$12:D17),"00")</f>
        <v>TC-03</v>
      </c>
      <c r="B17" s="19"/>
      <c r="C17" s="6" t="s">
        <v>35</v>
      </c>
      <c r="D17" s="6" t="s">
        <v>36</v>
      </c>
      <c r="E17" s="6" t="s">
        <v>37</v>
      </c>
      <c r="F17" s="13"/>
      <c r="G17" s="14" t="s">
        <v>30</v>
      </c>
      <c r="H17" s="13"/>
      <c r="I17" s="13"/>
      <c r="J17" s="13"/>
      <c r="K17" s="13"/>
      <c r="L17" s="13"/>
      <c r="M17" s="13"/>
    </row>
    <row r="18" spans="1:13" ht="32.1" customHeight="1" x14ac:dyDescent="0.2">
      <c r="A18" s="12" t="str">
        <f>$C$4&amp;"-"&amp;TEXT(COUNTA($D$12:D18),"00")</f>
        <v>TC-04</v>
      </c>
      <c r="B18" s="19"/>
      <c r="C18" s="6" t="s">
        <v>38</v>
      </c>
      <c r="D18" s="6" t="s">
        <v>39</v>
      </c>
      <c r="E18" s="6" t="s">
        <v>40</v>
      </c>
      <c r="F18" s="13"/>
      <c r="G18" s="14" t="s">
        <v>30</v>
      </c>
      <c r="H18" s="13"/>
      <c r="I18" s="13"/>
      <c r="J18" s="13"/>
      <c r="K18" s="13"/>
      <c r="L18" s="13"/>
      <c r="M18" s="13"/>
    </row>
    <row r="19" spans="1:13" ht="48" customHeight="1" x14ac:dyDescent="0.2">
      <c r="A19" s="12" t="str">
        <f>$C$4&amp;"-"&amp;TEXT(COUNTA($D$12:D19),"00")</f>
        <v>TC-05</v>
      </c>
      <c r="B19" s="19"/>
      <c r="C19" s="6" t="s">
        <v>41</v>
      </c>
      <c r="D19" s="6" t="s">
        <v>42</v>
      </c>
      <c r="E19" s="6" t="s">
        <v>43</v>
      </c>
      <c r="F19" s="13"/>
      <c r="G19" s="14" t="s">
        <v>30</v>
      </c>
      <c r="H19" s="13"/>
      <c r="I19" s="13"/>
      <c r="J19" s="13"/>
      <c r="K19" s="13"/>
      <c r="L19" s="13"/>
      <c r="M19" s="13"/>
    </row>
    <row r="20" spans="1:13" ht="48" customHeight="1" x14ac:dyDescent="0.2">
      <c r="A20" s="12" t="str">
        <f>$C$4&amp;"-"&amp;TEXT(COUNTA($D$12:D20),"00")</f>
        <v>TC-06</v>
      </c>
      <c r="B20" s="20"/>
      <c r="C20" s="6" t="s">
        <v>44</v>
      </c>
      <c r="D20" s="6" t="s">
        <v>45</v>
      </c>
      <c r="E20" s="6" t="s">
        <v>46</v>
      </c>
      <c r="F20" s="13"/>
      <c r="G20" s="14" t="s">
        <v>30</v>
      </c>
      <c r="H20" s="13"/>
      <c r="I20" s="13"/>
      <c r="J20" s="13"/>
      <c r="K20" s="13"/>
      <c r="L20" s="13"/>
      <c r="M20" s="13" t="s">
        <v>47</v>
      </c>
    </row>
    <row r="21" spans="1:13" ht="20.100000000000001" customHeight="1" x14ac:dyDescent="0.2">
      <c r="A21" s="28" t="s">
        <v>48</v>
      </c>
      <c r="B21" s="24"/>
      <c r="C21" s="24"/>
      <c r="D21" s="24"/>
      <c r="E21" s="24"/>
      <c r="F21" s="24"/>
      <c r="G21" s="24"/>
      <c r="H21" s="24"/>
      <c r="I21" s="24"/>
      <c r="J21" s="24"/>
      <c r="K21" s="25"/>
      <c r="L21" s="13"/>
      <c r="M21" s="13"/>
    </row>
    <row r="22" spans="1:13" ht="32.1" customHeight="1" x14ac:dyDescent="0.2">
      <c r="A22" s="12" t="str">
        <f>$C$4&amp;"-"&amp;TEXT(COUNTA($D$12:D22),"00")</f>
        <v>TC-07</v>
      </c>
      <c r="B22" s="6" t="s">
        <v>49</v>
      </c>
      <c r="C22" s="6" t="s">
        <v>50</v>
      </c>
      <c r="D22" s="6" t="s">
        <v>51</v>
      </c>
      <c r="E22" s="6" t="s">
        <v>52</v>
      </c>
      <c r="F22" s="13"/>
      <c r="G22" s="14" t="s">
        <v>30</v>
      </c>
      <c r="H22" s="13"/>
      <c r="I22" s="13"/>
      <c r="J22" s="13"/>
      <c r="K22" s="13"/>
      <c r="L22" s="13"/>
      <c r="M22" s="13" t="s">
        <v>53</v>
      </c>
    </row>
    <row r="23" spans="1:13" ht="32.1" customHeight="1" x14ac:dyDescent="0.2">
      <c r="A23" s="12" t="str">
        <f>$C$4&amp;"-"&amp;TEXT(COUNTA($D$12:D23),"00")</f>
        <v>TC-08</v>
      </c>
      <c r="B23" s="18" t="s">
        <v>54</v>
      </c>
      <c r="C23" s="6" t="s">
        <v>55</v>
      </c>
      <c r="D23" s="6" t="s">
        <v>56</v>
      </c>
      <c r="E23" s="6" t="s">
        <v>57</v>
      </c>
      <c r="F23" s="13"/>
      <c r="G23" s="14" t="s">
        <v>30</v>
      </c>
      <c r="H23" s="13"/>
      <c r="I23" s="13"/>
      <c r="J23" s="13"/>
      <c r="K23" s="13"/>
      <c r="L23" s="13"/>
      <c r="M23" s="13" t="s">
        <v>58</v>
      </c>
    </row>
    <row r="24" spans="1:13" ht="63.95" customHeight="1" x14ac:dyDescent="0.2">
      <c r="A24" s="12" t="str">
        <f>$C$4&amp;"-"&amp;TEXT(COUNTA($D$12:D24),"00")</f>
        <v>TC-09</v>
      </c>
      <c r="B24" s="20"/>
      <c r="C24" s="6" t="s">
        <v>59</v>
      </c>
      <c r="D24" s="6" t="s">
        <v>60</v>
      </c>
      <c r="E24" s="6" t="s">
        <v>61</v>
      </c>
      <c r="F24" s="13"/>
      <c r="G24" s="14" t="s">
        <v>30</v>
      </c>
      <c r="H24" s="13"/>
      <c r="I24" s="13"/>
      <c r="J24" s="13"/>
      <c r="K24" s="13"/>
      <c r="L24" s="13"/>
      <c r="M24" s="13" t="s">
        <v>62</v>
      </c>
    </row>
    <row r="25" spans="1:13" ht="80.099999999999994" customHeight="1" x14ac:dyDescent="0.2">
      <c r="A25" s="12" t="str">
        <f>$C$4&amp;"-"&amp;TEXT(COUNTA($D$12:D25),"00")</f>
        <v>TC-10</v>
      </c>
      <c r="B25" s="18" t="s">
        <v>63</v>
      </c>
      <c r="C25" s="6" t="s">
        <v>64</v>
      </c>
      <c r="D25" s="6" t="s">
        <v>65</v>
      </c>
      <c r="E25" s="6" t="s">
        <v>66</v>
      </c>
      <c r="F25" s="13"/>
      <c r="G25" s="14" t="s">
        <v>30</v>
      </c>
      <c r="H25" s="13"/>
      <c r="I25" s="13"/>
      <c r="J25" s="13"/>
      <c r="K25" s="13"/>
      <c r="L25" s="13"/>
      <c r="M25" s="13" t="s">
        <v>67</v>
      </c>
    </row>
    <row r="26" spans="1:13" ht="63.95" customHeight="1" x14ac:dyDescent="0.2">
      <c r="A26" s="12" t="str">
        <f>$C$4&amp;"-"&amp;TEXT(COUNTA($D$12:D26),"00")</f>
        <v>TC-11</v>
      </c>
      <c r="B26" s="20"/>
      <c r="C26" s="6" t="s">
        <v>68</v>
      </c>
      <c r="D26" s="6" t="s">
        <v>69</v>
      </c>
      <c r="E26" s="6" t="s">
        <v>70</v>
      </c>
      <c r="F26" s="13" t="s">
        <v>71</v>
      </c>
      <c r="G26" s="14" t="s">
        <v>30</v>
      </c>
      <c r="H26" s="13"/>
      <c r="I26" s="13"/>
      <c r="J26" s="13"/>
      <c r="K26" s="13"/>
      <c r="L26" s="13"/>
      <c r="M26" s="13" t="s">
        <v>72</v>
      </c>
    </row>
    <row r="27" spans="1:13" ht="48" customHeight="1" x14ac:dyDescent="0.2">
      <c r="A27" s="12" t="str">
        <f>$C$4&amp;"-"&amp;TEXT(COUNTA($D$12:D27),"00")</f>
        <v>TC-12</v>
      </c>
      <c r="B27" s="18" t="s">
        <v>73</v>
      </c>
      <c r="C27" s="6" t="s">
        <v>74</v>
      </c>
      <c r="D27" s="6" t="s">
        <v>75</v>
      </c>
      <c r="E27" s="6" t="s">
        <v>76</v>
      </c>
      <c r="F27" s="13"/>
      <c r="G27" s="14" t="s">
        <v>30</v>
      </c>
      <c r="H27" s="13"/>
      <c r="I27" s="13"/>
      <c r="J27" s="13"/>
      <c r="K27" s="13"/>
      <c r="L27" s="13"/>
      <c r="M27" s="13" t="s">
        <v>77</v>
      </c>
    </row>
    <row r="28" spans="1:13" ht="63.95" customHeight="1" x14ac:dyDescent="0.2">
      <c r="A28" s="12" t="str">
        <f>$C$4&amp;"-"&amp;TEXT(COUNTA($D$12:D28),"00")</f>
        <v>TC-13</v>
      </c>
      <c r="B28" s="20"/>
      <c r="C28" s="6" t="s">
        <v>78</v>
      </c>
      <c r="D28" s="6" t="s">
        <v>79</v>
      </c>
      <c r="E28" s="6" t="s">
        <v>80</v>
      </c>
      <c r="F28" s="13"/>
      <c r="G28" s="14" t="s">
        <v>30</v>
      </c>
      <c r="H28" s="13"/>
      <c r="I28" s="13"/>
      <c r="J28" s="13"/>
      <c r="K28" s="13"/>
      <c r="L28" s="13"/>
      <c r="M28" s="13" t="s">
        <v>81</v>
      </c>
    </row>
    <row r="29" spans="1:13" ht="32.1" customHeight="1" x14ac:dyDescent="0.2">
      <c r="A29" s="12" t="str">
        <f>$C$4&amp;"-"&amp;TEXT(COUNTA($D$12:D29),"00")</f>
        <v>TC-14</v>
      </c>
      <c r="B29" s="18" t="s">
        <v>82</v>
      </c>
      <c r="C29" s="6" t="s">
        <v>83</v>
      </c>
      <c r="D29" s="6" t="s">
        <v>84</v>
      </c>
      <c r="E29" s="6" t="s">
        <v>85</v>
      </c>
      <c r="F29" s="13"/>
      <c r="G29" s="14" t="s">
        <v>30</v>
      </c>
      <c r="H29" s="13"/>
      <c r="I29" s="13"/>
      <c r="J29" s="13"/>
      <c r="K29" s="13"/>
      <c r="L29" s="13"/>
      <c r="M29" s="13" t="s">
        <v>86</v>
      </c>
    </row>
    <row r="30" spans="1:13" ht="48" customHeight="1" x14ac:dyDescent="0.2">
      <c r="A30" s="12" t="str">
        <f>$C$4&amp;"-"&amp;TEXT(COUNTA($D$12:D30),"00")</f>
        <v>TC-15</v>
      </c>
      <c r="B30" s="20"/>
      <c r="C30" s="6" t="s">
        <v>87</v>
      </c>
      <c r="D30" s="6" t="s">
        <v>88</v>
      </c>
      <c r="E30" s="6" t="s">
        <v>89</v>
      </c>
      <c r="F30" s="13"/>
      <c r="G30" s="14" t="s">
        <v>30</v>
      </c>
      <c r="H30" s="13"/>
      <c r="I30" s="13"/>
      <c r="J30" s="13"/>
      <c r="K30" s="13"/>
      <c r="L30" s="13"/>
      <c r="M30" s="13" t="s">
        <v>90</v>
      </c>
    </row>
    <row r="31" spans="1:13" ht="32.1" customHeight="1" x14ac:dyDescent="0.2">
      <c r="A31" s="12" t="str">
        <f>$C$4&amp;"-"&amp;TEXT(COUNTA($D$12:D31),"00")</f>
        <v>TC-16</v>
      </c>
      <c r="B31" s="18" t="s">
        <v>91</v>
      </c>
      <c r="C31" s="6" t="s">
        <v>92</v>
      </c>
      <c r="D31" s="6" t="s">
        <v>93</v>
      </c>
      <c r="E31" s="6" t="s">
        <v>94</v>
      </c>
      <c r="F31" s="13"/>
      <c r="G31" s="14" t="s">
        <v>30</v>
      </c>
      <c r="H31" s="13"/>
      <c r="I31" s="13"/>
      <c r="J31" s="13"/>
      <c r="K31" s="13"/>
      <c r="L31" s="13"/>
      <c r="M31" s="13" t="s">
        <v>95</v>
      </c>
    </row>
    <row r="32" spans="1:13" ht="48" customHeight="1" x14ac:dyDescent="0.2">
      <c r="A32" s="12" t="str">
        <f>$C$4&amp;"-"&amp;TEXT(COUNTA($D$12:D32),"00")</f>
        <v>TC-17</v>
      </c>
      <c r="B32" s="20"/>
      <c r="C32" s="6" t="s">
        <v>96</v>
      </c>
      <c r="D32" s="6" t="s">
        <v>97</v>
      </c>
      <c r="E32" s="6" t="s">
        <v>98</v>
      </c>
      <c r="F32" s="13"/>
      <c r="G32" s="14" t="s">
        <v>30</v>
      </c>
      <c r="H32" s="13"/>
      <c r="I32" s="13"/>
      <c r="J32" s="13"/>
      <c r="K32" s="13"/>
      <c r="L32" s="13"/>
      <c r="M32" s="13" t="s">
        <v>99</v>
      </c>
    </row>
    <row r="33" spans="1:13" ht="20.100000000000001" customHeight="1" x14ac:dyDescent="0.2">
      <c r="A33" s="28" t="s">
        <v>100</v>
      </c>
      <c r="B33" s="24"/>
      <c r="C33" s="24"/>
      <c r="D33" s="24"/>
      <c r="E33" s="24"/>
      <c r="F33" s="24"/>
      <c r="G33" s="24"/>
      <c r="H33" s="24"/>
      <c r="I33" s="24"/>
      <c r="J33" s="24"/>
      <c r="K33" s="25"/>
      <c r="L33" s="13"/>
      <c r="M33" s="13"/>
    </row>
    <row r="34" spans="1:13" ht="48" customHeight="1" x14ac:dyDescent="0.2">
      <c r="A34" s="12" t="str">
        <f>$C$4&amp;"-"&amp;TEXT(COUNTA($D$12:D34),"00")</f>
        <v>TC-18</v>
      </c>
      <c r="B34" s="6" t="s">
        <v>101</v>
      </c>
      <c r="C34" s="6" t="s">
        <v>102</v>
      </c>
      <c r="D34" s="6" t="s">
        <v>103</v>
      </c>
      <c r="E34" s="6" t="s">
        <v>104</v>
      </c>
      <c r="F34" s="13"/>
      <c r="G34" s="14" t="s">
        <v>30</v>
      </c>
      <c r="H34" s="13"/>
      <c r="I34" s="13"/>
      <c r="J34" s="13"/>
      <c r="K34" s="13"/>
      <c r="L34" s="13"/>
      <c r="M34" s="13" t="s">
        <v>105</v>
      </c>
    </row>
    <row r="35" spans="1:13" ht="48" customHeight="1" x14ac:dyDescent="0.2">
      <c r="A35" s="12" t="str">
        <f>$C$4&amp;"-"&amp;TEXT(COUNTA($D$12:D35),"00")</f>
        <v>TC-19</v>
      </c>
      <c r="B35" s="6" t="s">
        <v>106</v>
      </c>
      <c r="C35" s="6" t="s">
        <v>107</v>
      </c>
      <c r="D35" s="6" t="s">
        <v>108</v>
      </c>
      <c r="E35" s="6" t="s">
        <v>109</v>
      </c>
      <c r="F35" s="13"/>
      <c r="G35" s="14" t="s">
        <v>30</v>
      </c>
      <c r="H35" s="13"/>
      <c r="I35" s="13"/>
      <c r="J35" s="13"/>
      <c r="K35" s="13"/>
      <c r="L35" s="13"/>
      <c r="M35" s="13" t="s">
        <v>110</v>
      </c>
    </row>
    <row r="36" spans="1:13" ht="63.95" customHeight="1" x14ac:dyDescent="0.2">
      <c r="A36" s="12" t="str">
        <f>$C$4&amp;"-"&amp;TEXT(COUNTA($D$12:D36),"00")</f>
        <v>TC-20</v>
      </c>
      <c r="B36" s="6" t="s">
        <v>111</v>
      </c>
      <c r="C36" s="6" t="s">
        <v>112</v>
      </c>
      <c r="D36" s="6" t="s">
        <v>113</v>
      </c>
      <c r="E36" s="6" t="s">
        <v>114</v>
      </c>
      <c r="F36" s="13"/>
      <c r="G36" s="14" t="s">
        <v>30</v>
      </c>
      <c r="H36" s="13"/>
      <c r="I36" s="13"/>
      <c r="J36" s="13"/>
      <c r="K36" s="13"/>
      <c r="L36" s="13"/>
      <c r="M36" s="13" t="s">
        <v>115</v>
      </c>
    </row>
    <row r="37" spans="1:13" ht="48" customHeight="1" x14ac:dyDescent="0.2">
      <c r="A37" s="12" t="str">
        <f>$C$4&amp;"-"&amp;TEXT(COUNTA($D$12:D37),"00")</f>
        <v>TC-21</v>
      </c>
      <c r="B37" s="18" t="s">
        <v>116</v>
      </c>
      <c r="C37" s="6" t="s">
        <v>117</v>
      </c>
      <c r="D37" s="6" t="s">
        <v>118</v>
      </c>
      <c r="E37" s="6" t="s">
        <v>119</v>
      </c>
      <c r="F37" s="13"/>
      <c r="G37" s="14" t="s">
        <v>30</v>
      </c>
      <c r="H37" s="13"/>
      <c r="I37" s="13"/>
      <c r="J37" s="13"/>
      <c r="K37" s="13"/>
      <c r="L37" s="13"/>
      <c r="M37" s="13" t="s">
        <v>120</v>
      </c>
    </row>
    <row r="38" spans="1:13" ht="48" customHeight="1" x14ac:dyDescent="0.2">
      <c r="A38" s="12" t="str">
        <f>$C$4&amp;"-"&amp;TEXT(COUNTA($D$12:D38),"00")</f>
        <v>TC-22</v>
      </c>
      <c r="B38" s="19"/>
      <c r="C38" s="6" t="s">
        <v>121</v>
      </c>
      <c r="D38" s="6" t="s">
        <v>122</v>
      </c>
      <c r="E38" s="6" t="s">
        <v>123</v>
      </c>
      <c r="F38" s="13"/>
      <c r="G38" s="14" t="s">
        <v>30</v>
      </c>
      <c r="H38" s="13"/>
      <c r="I38" s="13"/>
      <c r="J38" s="13"/>
      <c r="K38" s="13"/>
      <c r="L38" s="13"/>
      <c r="M38" s="13" t="s">
        <v>120</v>
      </c>
    </row>
    <row r="39" spans="1:13" ht="32.1" customHeight="1" x14ac:dyDescent="0.2">
      <c r="A39" s="12" t="str">
        <f>$C$4&amp;"-"&amp;TEXT(COUNTA($D$12:D39),"00")</f>
        <v>TC-23</v>
      </c>
      <c r="B39" s="19"/>
      <c r="C39" s="6" t="s">
        <v>124</v>
      </c>
      <c r="D39" s="6" t="s">
        <v>125</v>
      </c>
      <c r="E39" s="6" t="s">
        <v>126</v>
      </c>
      <c r="F39" s="13"/>
      <c r="G39" s="14" t="s">
        <v>30</v>
      </c>
      <c r="H39" s="13"/>
      <c r="I39" s="13"/>
      <c r="J39" s="13"/>
      <c r="K39" s="13"/>
      <c r="L39" s="13"/>
      <c r="M39" s="13" t="s">
        <v>127</v>
      </c>
    </row>
    <row r="40" spans="1:13" ht="63.95" customHeight="1" x14ac:dyDescent="0.2">
      <c r="A40" s="12" t="str">
        <f>$C$4&amp;"-"&amp;TEXT(COUNTA($D$12:D40),"00")</f>
        <v>TC-24</v>
      </c>
      <c r="B40" s="19"/>
      <c r="C40" s="6" t="s">
        <v>128</v>
      </c>
      <c r="D40" s="6" t="s">
        <v>129</v>
      </c>
      <c r="E40" s="6" t="s">
        <v>130</v>
      </c>
      <c r="F40" s="13"/>
      <c r="G40" s="14" t="s">
        <v>30</v>
      </c>
      <c r="H40" s="13"/>
      <c r="I40" s="13"/>
      <c r="J40" s="13"/>
      <c r="K40" s="13"/>
      <c r="L40" s="13"/>
      <c r="M40" s="13" t="s">
        <v>131</v>
      </c>
    </row>
    <row r="41" spans="1:13" ht="32.1" customHeight="1" x14ac:dyDescent="0.2">
      <c r="A41" s="12" t="str">
        <f>$C$4&amp;"-"&amp;TEXT(COUNTA($D$12:D41),"00")</f>
        <v>TC-25</v>
      </c>
      <c r="B41" s="20"/>
      <c r="C41" s="6" t="s">
        <v>132</v>
      </c>
      <c r="D41" s="6" t="s">
        <v>133</v>
      </c>
      <c r="E41" s="6" t="s">
        <v>134</v>
      </c>
      <c r="F41" s="13"/>
      <c r="G41" s="14" t="s">
        <v>30</v>
      </c>
      <c r="H41" s="13"/>
      <c r="I41" s="13"/>
      <c r="J41" s="13"/>
      <c r="K41" s="13"/>
      <c r="L41" s="13"/>
      <c r="M41" s="13" t="s">
        <v>135</v>
      </c>
    </row>
    <row r="42" spans="1:13" ht="48" customHeight="1" x14ac:dyDescent="0.2">
      <c r="A42" s="12" t="str">
        <f>$C$4&amp;"-"&amp;TEXT(COUNTA($D$12:D42),"00")</f>
        <v>TC-26</v>
      </c>
      <c r="B42" s="18" t="s">
        <v>136</v>
      </c>
      <c r="C42" s="6" t="s">
        <v>137</v>
      </c>
      <c r="D42" s="6" t="s">
        <v>138</v>
      </c>
      <c r="E42" s="6" t="s">
        <v>139</v>
      </c>
      <c r="F42" s="13" t="s">
        <v>140</v>
      </c>
      <c r="G42" s="14" t="s">
        <v>30</v>
      </c>
      <c r="H42" s="13"/>
      <c r="I42" s="13"/>
      <c r="J42" s="13"/>
      <c r="K42" s="13"/>
      <c r="L42" s="13"/>
      <c r="M42" s="13" t="s">
        <v>141</v>
      </c>
    </row>
    <row r="43" spans="1:13" ht="48" customHeight="1" x14ac:dyDescent="0.2">
      <c r="A43" s="12" t="str">
        <f>$C$4&amp;"-"&amp;TEXT(COUNTA($D$12:D43),"00")</f>
        <v>TC-27</v>
      </c>
      <c r="B43" s="19"/>
      <c r="C43" s="6" t="s">
        <v>142</v>
      </c>
      <c r="D43" s="6" t="s">
        <v>143</v>
      </c>
      <c r="E43" s="6" t="s">
        <v>144</v>
      </c>
      <c r="F43" s="13"/>
      <c r="G43" s="14" t="s">
        <v>30</v>
      </c>
      <c r="H43" s="13"/>
      <c r="I43" s="13"/>
      <c r="J43" s="13"/>
      <c r="K43" s="13"/>
      <c r="L43" s="13"/>
      <c r="M43" s="13" t="s">
        <v>145</v>
      </c>
    </row>
    <row r="44" spans="1:13" ht="48" customHeight="1" x14ac:dyDescent="0.2">
      <c r="A44" s="12" t="str">
        <f>$C$4&amp;"-"&amp;TEXT(COUNTA($D$12:D44),"00")</f>
        <v>TC-28</v>
      </c>
      <c r="B44" s="19"/>
      <c r="C44" s="6" t="s">
        <v>146</v>
      </c>
      <c r="D44" s="6" t="s">
        <v>147</v>
      </c>
      <c r="E44" s="6" t="s">
        <v>148</v>
      </c>
      <c r="F44" s="13"/>
      <c r="G44" s="14" t="s">
        <v>30</v>
      </c>
      <c r="H44" s="13"/>
      <c r="I44" s="13"/>
      <c r="J44" s="13"/>
      <c r="K44" s="13"/>
      <c r="L44" s="13"/>
      <c r="M44" s="13" t="s">
        <v>149</v>
      </c>
    </row>
    <row r="45" spans="1:13" ht="32.1" customHeight="1" x14ac:dyDescent="0.2">
      <c r="A45" s="12" t="str">
        <f>$C$4&amp;"-"&amp;TEXT(COUNTA($D$12:D45),"00")</f>
        <v>TC-29</v>
      </c>
      <c r="B45" s="19"/>
      <c r="C45" s="6" t="s">
        <v>150</v>
      </c>
      <c r="D45" s="6" t="s">
        <v>151</v>
      </c>
      <c r="E45" s="6" t="s">
        <v>152</v>
      </c>
      <c r="F45" s="13"/>
      <c r="G45" s="14" t="s">
        <v>30</v>
      </c>
      <c r="H45" s="13"/>
      <c r="I45" s="13"/>
      <c r="J45" s="13"/>
      <c r="K45" s="13"/>
      <c r="L45" s="13"/>
      <c r="M45" s="13" t="s">
        <v>110</v>
      </c>
    </row>
    <row r="46" spans="1:13" ht="63.95" customHeight="1" x14ac:dyDescent="0.2">
      <c r="A46" s="12" t="str">
        <f>$C$4&amp;"-"&amp;TEXT(COUNTA($D$12:D46),"00")</f>
        <v>TC-30</v>
      </c>
      <c r="B46" s="20"/>
      <c r="C46" s="6" t="s">
        <v>153</v>
      </c>
      <c r="D46" s="6" t="s">
        <v>154</v>
      </c>
      <c r="E46" s="6" t="s">
        <v>155</v>
      </c>
      <c r="F46" s="13"/>
      <c r="G46" s="14" t="s">
        <v>30</v>
      </c>
      <c r="H46" s="13"/>
      <c r="I46" s="13"/>
      <c r="J46" s="13"/>
      <c r="K46" s="13"/>
      <c r="L46" s="13"/>
      <c r="M46" s="13" t="s">
        <v>156</v>
      </c>
    </row>
    <row r="47" spans="1:13" ht="32.1" customHeight="1" x14ac:dyDescent="0.2">
      <c r="A47" s="12" t="str">
        <f>$C$4&amp;"-"&amp;TEXT(COUNTA($D$12:D47),"00")</f>
        <v>TC-31</v>
      </c>
      <c r="B47" s="18" t="s">
        <v>157</v>
      </c>
      <c r="C47" s="6" t="s">
        <v>158</v>
      </c>
      <c r="D47" s="6" t="s">
        <v>159</v>
      </c>
      <c r="E47" s="6" t="s">
        <v>160</v>
      </c>
      <c r="F47" s="13"/>
      <c r="G47" s="14" t="s">
        <v>30</v>
      </c>
      <c r="H47" s="13"/>
      <c r="I47" s="13"/>
      <c r="J47" s="13"/>
      <c r="K47" s="13"/>
      <c r="L47" s="13"/>
      <c r="M47" s="13" t="s">
        <v>161</v>
      </c>
    </row>
    <row r="48" spans="1:13" ht="48" customHeight="1" x14ac:dyDescent="0.2">
      <c r="A48" s="12" t="str">
        <f>$C$4&amp;"-"&amp;TEXT(COUNTA($D$12:D48),"00")</f>
        <v>TC-32</v>
      </c>
      <c r="B48" s="19"/>
      <c r="C48" s="6" t="s">
        <v>162</v>
      </c>
      <c r="D48" s="6" t="s">
        <v>163</v>
      </c>
      <c r="E48" s="6" t="s">
        <v>160</v>
      </c>
      <c r="F48" s="13"/>
      <c r="G48" s="14" t="s">
        <v>30</v>
      </c>
      <c r="H48" s="13"/>
      <c r="I48" s="13"/>
      <c r="J48" s="13"/>
      <c r="K48" s="13"/>
      <c r="L48" s="13"/>
      <c r="M48" s="13" t="s">
        <v>164</v>
      </c>
    </row>
    <row r="49" spans="1:13" ht="48" customHeight="1" x14ac:dyDescent="0.2">
      <c r="A49" s="12" t="str">
        <f>$C$4&amp;"-"&amp;TEXT(COUNTA($D$12:D49),"00")</f>
        <v>TC-33</v>
      </c>
      <c r="B49" s="19"/>
      <c r="C49" s="6" t="s">
        <v>165</v>
      </c>
      <c r="D49" s="6" t="s">
        <v>166</v>
      </c>
      <c r="E49" s="6" t="s">
        <v>167</v>
      </c>
      <c r="F49" s="13"/>
      <c r="G49" s="14" t="s">
        <v>30</v>
      </c>
      <c r="H49" s="13"/>
      <c r="I49" s="13"/>
      <c r="J49" s="13"/>
      <c r="K49" s="13"/>
      <c r="L49" s="13"/>
      <c r="M49" s="13" t="s">
        <v>161</v>
      </c>
    </row>
    <row r="50" spans="1:13" ht="48" customHeight="1" x14ac:dyDescent="0.2">
      <c r="A50" s="12" t="str">
        <f>$C$4&amp;"-"&amp;TEXT(COUNTA($D$12:D50),"00")</f>
        <v>TC-34</v>
      </c>
      <c r="B50" s="19"/>
      <c r="C50" s="6" t="s">
        <v>168</v>
      </c>
      <c r="D50" s="6" t="s">
        <v>169</v>
      </c>
      <c r="E50" s="6" t="s">
        <v>170</v>
      </c>
      <c r="F50" s="13"/>
      <c r="G50" s="14" t="s">
        <v>30</v>
      </c>
      <c r="H50" s="13"/>
      <c r="I50" s="13"/>
      <c r="J50" s="13"/>
      <c r="K50" s="13"/>
      <c r="L50" s="13"/>
      <c r="M50" s="13" t="s">
        <v>161</v>
      </c>
    </row>
    <row r="51" spans="1:13" ht="48" customHeight="1" x14ac:dyDescent="0.2">
      <c r="A51" s="12" t="str">
        <f>$C$4&amp;"-"&amp;TEXT(COUNTA($D$12:D51),"00")</f>
        <v>TC-35</v>
      </c>
      <c r="B51" s="20"/>
      <c r="C51" s="6" t="s">
        <v>171</v>
      </c>
      <c r="D51" s="6" t="s">
        <v>172</v>
      </c>
      <c r="E51" s="6" t="s">
        <v>173</v>
      </c>
      <c r="F51" s="13"/>
      <c r="G51" s="14" t="s">
        <v>30</v>
      </c>
      <c r="H51" s="13"/>
      <c r="I51" s="13"/>
      <c r="J51" s="13"/>
      <c r="K51" s="13"/>
      <c r="L51" s="13"/>
      <c r="M51" s="13" t="s">
        <v>174</v>
      </c>
    </row>
    <row r="52" spans="1:13" ht="48" customHeight="1" x14ac:dyDescent="0.2">
      <c r="A52" s="12" t="str">
        <f>$C$4&amp;"-"&amp;TEXT(COUNTA($D$12:D52),"00")</f>
        <v>TC-36</v>
      </c>
      <c r="B52" s="6" t="s">
        <v>175</v>
      </c>
      <c r="C52" s="6" t="s">
        <v>176</v>
      </c>
      <c r="D52" s="6" t="s">
        <v>177</v>
      </c>
      <c r="E52" s="6" t="s">
        <v>178</v>
      </c>
      <c r="F52" s="13"/>
      <c r="G52" s="14" t="s">
        <v>30</v>
      </c>
      <c r="H52" s="13"/>
      <c r="I52" s="13"/>
      <c r="J52" s="13"/>
      <c r="K52" s="13"/>
      <c r="L52" s="13"/>
      <c r="M52" s="13" t="s">
        <v>179</v>
      </c>
    </row>
    <row r="53" spans="1:13" ht="48" customHeight="1" x14ac:dyDescent="0.2">
      <c r="A53" s="12" t="str">
        <f>$C$4&amp;"-"&amp;TEXT(COUNTA($D$12:D53),"00")</f>
        <v>TC-37</v>
      </c>
      <c r="B53" s="18" t="s">
        <v>180</v>
      </c>
      <c r="C53" s="6" t="s">
        <v>181</v>
      </c>
      <c r="D53" s="6" t="s">
        <v>182</v>
      </c>
      <c r="E53" s="6" t="s">
        <v>183</v>
      </c>
      <c r="F53" s="13" t="s">
        <v>184</v>
      </c>
      <c r="G53" s="14" t="s">
        <v>30</v>
      </c>
      <c r="H53" s="13"/>
      <c r="I53" s="13"/>
      <c r="J53" s="13"/>
      <c r="K53" s="13"/>
      <c r="L53" s="13"/>
      <c r="M53" s="13" t="s">
        <v>185</v>
      </c>
    </row>
    <row r="54" spans="1:13" ht="48" customHeight="1" x14ac:dyDescent="0.2">
      <c r="A54" s="12" t="str">
        <f>$C$4&amp;"-"&amp;TEXT(COUNTA($D$12:D54),"00")</f>
        <v>TC-38</v>
      </c>
      <c r="B54" s="19"/>
      <c r="C54" s="6" t="s">
        <v>186</v>
      </c>
      <c r="D54" s="6" t="s">
        <v>187</v>
      </c>
      <c r="E54" s="6" t="s">
        <v>188</v>
      </c>
      <c r="F54" s="13"/>
      <c r="G54" s="14" t="s">
        <v>30</v>
      </c>
      <c r="H54" s="13"/>
      <c r="I54" s="13"/>
      <c r="J54" s="13"/>
      <c r="K54" s="13"/>
      <c r="L54" s="13"/>
      <c r="M54" s="13" t="s">
        <v>185</v>
      </c>
    </row>
    <row r="55" spans="1:13" ht="48" customHeight="1" x14ac:dyDescent="0.2">
      <c r="A55" s="12" t="str">
        <f>$C$4&amp;"-"&amp;TEXT(COUNTA($D$12:D55),"00")</f>
        <v>TC-39</v>
      </c>
      <c r="B55" s="19"/>
      <c r="C55" s="6" t="s">
        <v>189</v>
      </c>
      <c r="D55" s="6" t="s">
        <v>190</v>
      </c>
      <c r="E55" s="6" t="s">
        <v>191</v>
      </c>
      <c r="F55" s="13" t="s">
        <v>192</v>
      </c>
      <c r="G55" s="14" t="s">
        <v>30</v>
      </c>
      <c r="H55" s="13"/>
      <c r="I55" s="13"/>
      <c r="J55" s="13"/>
      <c r="K55" s="13"/>
      <c r="L55" s="13"/>
      <c r="M55" s="13" t="s">
        <v>193</v>
      </c>
    </row>
    <row r="56" spans="1:13" ht="48" customHeight="1" x14ac:dyDescent="0.2">
      <c r="A56" s="12" t="str">
        <f>$C$4&amp;"-"&amp;TEXT(COUNTA($D$12:D56),"00")</f>
        <v>TC-40</v>
      </c>
      <c r="B56" s="20"/>
      <c r="C56" s="6" t="s">
        <v>194</v>
      </c>
      <c r="D56" s="6" t="s">
        <v>195</v>
      </c>
      <c r="E56" s="6" t="s">
        <v>196</v>
      </c>
      <c r="F56" s="13" t="s">
        <v>197</v>
      </c>
      <c r="G56" s="14" t="s">
        <v>30</v>
      </c>
      <c r="H56" s="13"/>
      <c r="I56" s="13"/>
      <c r="J56" s="13"/>
      <c r="K56" s="13"/>
      <c r="L56" s="13"/>
      <c r="M56" s="13" t="s">
        <v>193</v>
      </c>
    </row>
    <row r="57" spans="1:13" ht="48" customHeight="1" x14ac:dyDescent="0.2">
      <c r="A57" s="12" t="str">
        <f>$C$4&amp;"-"&amp;TEXT(COUNTA($D$12:D57),"00")</f>
        <v>TC-41</v>
      </c>
      <c r="B57" s="18" t="s">
        <v>198</v>
      </c>
      <c r="C57" s="6" t="s">
        <v>199</v>
      </c>
      <c r="D57" s="6" t="s">
        <v>182</v>
      </c>
      <c r="E57" s="6" t="s">
        <v>200</v>
      </c>
      <c r="F57" s="13"/>
      <c r="G57" s="14" t="s">
        <v>30</v>
      </c>
      <c r="H57" s="13"/>
      <c r="I57" s="13"/>
      <c r="J57" s="13"/>
      <c r="K57" s="13"/>
      <c r="L57" s="13"/>
      <c r="M57" s="13" t="s">
        <v>201</v>
      </c>
    </row>
    <row r="58" spans="1:13" ht="48" customHeight="1" x14ac:dyDescent="0.2">
      <c r="A58" s="12" t="str">
        <f>$C$4&amp;"-"&amp;TEXT(COUNTA($D$12:D58),"00")</f>
        <v>TC-42</v>
      </c>
      <c r="B58" s="19"/>
      <c r="C58" s="6" t="s">
        <v>202</v>
      </c>
      <c r="D58" s="6" t="s">
        <v>203</v>
      </c>
      <c r="E58" s="6" t="s">
        <v>204</v>
      </c>
      <c r="F58" s="13"/>
      <c r="G58" s="14" t="s">
        <v>30</v>
      </c>
      <c r="H58" s="13"/>
      <c r="I58" s="13"/>
      <c r="J58" s="13"/>
      <c r="K58" s="13"/>
      <c r="L58" s="13"/>
      <c r="M58" s="13" t="s">
        <v>201</v>
      </c>
    </row>
    <row r="59" spans="1:13" ht="48" customHeight="1" x14ac:dyDescent="0.2">
      <c r="A59" s="12" t="str">
        <f>$C$4&amp;"-"&amp;TEXT(COUNTA($D$12:D59),"00")</f>
        <v>TC-43</v>
      </c>
      <c r="B59" s="20"/>
      <c r="C59" s="6" t="s">
        <v>205</v>
      </c>
      <c r="D59" s="6" t="s">
        <v>206</v>
      </c>
      <c r="E59" s="6" t="s">
        <v>191</v>
      </c>
      <c r="F59" s="13" t="s">
        <v>192</v>
      </c>
      <c r="G59" s="14" t="s">
        <v>30</v>
      </c>
      <c r="H59" s="13"/>
      <c r="I59" s="13"/>
      <c r="J59" s="13"/>
      <c r="K59" s="13"/>
      <c r="L59" s="13"/>
      <c r="M59" s="13" t="s">
        <v>207</v>
      </c>
    </row>
    <row r="60" spans="1:13" ht="48" customHeight="1" x14ac:dyDescent="0.2">
      <c r="A60" s="12" t="str">
        <f>$C$4&amp;"-"&amp;TEXT(COUNTA($D$12:D60),"00")</f>
        <v>TC-44</v>
      </c>
      <c r="B60" s="6" t="s">
        <v>208</v>
      </c>
      <c r="C60" s="6" t="s">
        <v>209</v>
      </c>
      <c r="D60" s="6" t="s">
        <v>210</v>
      </c>
      <c r="E60" s="6" t="s">
        <v>211</v>
      </c>
      <c r="F60" s="13"/>
      <c r="G60" s="14" t="s">
        <v>30</v>
      </c>
      <c r="H60" s="13"/>
      <c r="I60" s="13"/>
      <c r="J60" s="13"/>
      <c r="K60" s="13"/>
      <c r="L60" s="13"/>
      <c r="M60" s="13" t="s">
        <v>212</v>
      </c>
    </row>
    <row r="61" spans="1:13" ht="20.100000000000001" customHeight="1" x14ac:dyDescent="0.2">
      <c r="A61" s="28" t="s">
        <v>213</v>
      </c>
      <c r="B61" s="24"/>
      <c r="C61" s="24"/>
      <c r="D61" s="24"/>
      <c r="E61" s="24"/>
      <c r="F61" s="24"/>
      <c r="G61" s="24"/>
      <c r="H61" s="24"/>
      <c r="I61" s="24"/>
      <c r="J61" s="24"/>
      <c r="K61" s="25"/>
      <c r="L61" s="13"/>
      <c r="M61" s="13"/>
    </row>
    <row r="62" spans="1:13" ht="80.099999999999994" customHeight="1" x14ac:dyDescent="0.2">
      <c r="A62" s="12" t="str">
        <f>$C$4&amp;"-"&amp;TEXT(COUNTA($D$12:D62),"00")</f>
        <v>TC-45</v>
      </c>
      <c r="B62" s="18" t="s">
        <v>214</v>
      </c>
      <c r="C62" s="6" t="s">
        <v>215</v>
      </c>
      <c r="D62" s="6" t="s">
        <v>216</v>
      </c>
      <c r="E62" s="6" t="s">
        <v>217</v>
      </c>
      <c r="F62" s="13"/>
      <c r="G62" s="14" t="s">
        <v>30</v>
      </c>
      <c r="H62" s="13"/>
      <c r="I62" s="13"/>
      <c r="J62" s="13"/>
      <c r="K62" s="13"/>
      <c r="L62" s="13"/>
      <c r="M62" s="13" t="s">
        <v>218</v>
      </c>
    </row>
    <row r="63" spans="1:13" ht="48" customHeight="1" x14ac:dyDescent="0.2">
      <c r="A63" s="12" t="str">
        <f>$C$4&amp;"-"&amp;TEXT(COUNTA($D$12:D63),"00")</f>
        <v>TC-46</v>
      </c>
      <c r="B63" s="20"/>
      <c r="C63" s="6" t="s">
        <v>219</v>
      </c>
      <c r="D63" s="6" t="s">
        <v>220</v>
      </c>
      <c r="E63" s="6" t="s">
        <v>221</v>
      </c>
      <c r="F63" s="13"/>
      <c r="G63" s="14" t="s">
        <v>30</v>
      </c>
      <c r="H63" s="13"/>
      <c r="I63" s="13"/>
      <c r="J63" s="13"/>
      <c r="K63" s="13"/>
      <c r="L63" s="13"/>
      <c r="M63" s="13" t="s">
        <v>222</v>
      </c>
    </row>
    <row r="64" spans="1:13" ht="48" customHeight="1" x14ac:dyDescent="0.2">
      <c r="A64" s="12" t="str">
        <f>$C$4&amp;"-"&amp;TEXT(COUNTA($D$12:D64),"00")</f>
        <v>TC-47</v>
      </c>
      <c r="B64" s="18" t="s">
        <v>223</v>
      </c>
      <c r="C64" s="6" t="s">
        <v>224</v>
      </c>
      <c r="D64" s="6" t="s">
        <v>225</v>
      </c>
      <c r="E64" s="6" t="s">
        <v>226</v>
      </c>
      <c r="F64" s="13"/>
      <c r="G64" s="14" t="s">
        <v>30</v>
      </c>
      <c r="H64" s="13"/>
      <c r="I64" s="13"/>
      <c r="J64" s="13"/>
      <c r="K64" s="13"/>
      <c r="L64" s="13"/>
      <c r="M64" s="13" t="s">
        <v>145</v>
      </c>
    </row>
    <row r="65" spans="1:13" ht="32.1" customHeight="1" x14ac:dyDescent="0.2">
      <c r="A65" s="12" t="str">
        <f>$C$4&amp;"-"&amp;TEXT(COUNTA($D$12:D65),"00")</f>
        <v>TC-48</v>
      </c>
      <c r="B65" s="19"/>
      <c r="C65" s="6" t="s">
        <v>227</v>
      </c>
      <c r="D65" s="6" t="s">
        <v>228</v>
      </c>
      <c r="E65" s="6" t="s">
        <v>229</v>
      </c>
      <c r="F65" s="13"/>
      <c r="G65" s="14" t="s">
        <v>30</v>
      </c>
      <c r="H65" s="13"/>
      <c r="I65" s="13"/>
      <c r="J65" s="13"/>
      <c r="K65" s="13"/>
      <c r="L65" s="13"/>
      <c r="M65" s="13" t="s">
        <v>110</v>
      </c>
    </row>
    <row r="66" spans="1:13" ht="96" customHeight="1" x14ac:dyDescent="0.2">
      <c r="A66" s="12" t="str">
        <f>$C$4&amp;"-"&amp;TEXT(COUNTA($D$12:D66),"00")</f>
        <v>TC-49</v>
      </c>
      <c r="B66" s="20"/>
      <c r="C66" s="6" t="s">
        <v>230</v>
      </c>
      <c r="D66" s="6" t="s">
        <v>231</v>
      </c>
      <c r="E66" s="6" t="s">
        <v>232</v>
      </c>
      <c r="F66" s="13" t="s">
        <v>233</v>
      </c>
      <c r="G66" s="14" t="s">
        <v>30</v>
      </c>
      <c r="H66" s="13"/>
      <c r="I66" s="13"/>
      <c r="J66" s="13"/>
      <c r="K66" s="13"/>
      <c r="L66" s="13"/>
      <c r="M66" s="13" t="s">
        <v>234</v>
      </c>
    </row>
    <row r="67" spans="1:13" ht="32.1" customHeight="1" x14ac:dyDescent="0.2">
      <c r="A67" s="12" t="str">
        <f>$C$4&amp;"-"&amp;TEXT(COUNTA($D$12:D67),"00")</f>
        <v>TC-50</v>
      </c>
      <c r="B67" s="6" t="s">
        <v>235</v>
      </c>
      <c r="C67" s="6" t="s">
        <v>236</v>
      </c>
      <c r="D67" s="6" t="s">
        <v>237</v>
      </c>
      <c r="E67" s="6" t="s">
        <v>238</v>
      </c>
      <c r="F67" s="13" t="s">
        <v>239</v>
      </c>
      <c r="G67" s="14" t="s">
        <v>30</v>
      </c>
      <c r="H67" s="13"/>
      <c r="I67" s="13"/>
      <c r="J67" s="13"/>
      <c r="K67" s="13"/>
      <c r="L67" s="13"/>
      <c r="M67" s="13" t="s">
        <v>240</v>
      </c>
    </row>
    <row r="68" spans="1:13" ht="32.1" customHeight="1" x14ac:dyDescent="0.2">
      <c r="A68" s="12" t="str">
        <f>$C$4&amp;"-"&amp;TEXT(COUNTA($D$12:D68),"00")</f>
        <v>TC-51</v>
      </c>
      <c r="B68" s="18" t="s">
        <v>241</v>
      </c>
      <c r="C68" s="6" t="s">
        <v>242</v>
      </c>
      <c r="D68" s="6" t="s">
        <v>243</v>
      </c>
      <c r="E68" s="6" t="s">
        <v>244</v>
      </c>
      <c r="F68" s="13"/>
      <c r="G68" s="14" t="s">
        <v>30</v>
      </c>
      <c r="H68" s="13"/>
      <c r="I68" s="13"/>
      <c r="J68" s="13"/>
      <c r="K68" s="13"/>
      <c r="L68" s="13"/>
      <c r="M68" s="13" t="s">
        <v>245</v>
      </c>
    </row>
    <row r="69" spans="1:13" ht="32.1" customHeight="1" x14ac:dyDescent="0.2">
      <c r="A69" s="12" t="str">
        <f>$C$4&amp;"-"&amp;TEXT(COUNTA($D$12:D69),"00")</f>
        <v>TC-52</v>
      </c>
      <c r="B69" s="19"/>
      <c r="C69" s="6" t="s">
        <v>246</v>
      </c>
      <c r="D69" s="6" t="s">
        <v>247</v>
      </c>
      <c r="E69" s="6" t="s">
        <v>248</v>
      </c>
      <c r="F69" s="13"/>
      <c r="G69" s="14" t="s">
        <v>30</v>
      </c>
      <c r="H69" s="13"/>
      <c r="I69" s="13"/>
      <c r="J69" s="13"/>
      <c r="K69" s="13"/>
      <c r="L69" s="13"/>
      <c r="M69" s="13" t="s">
        <v>245</v>
      </c>
    </row>
    <row r="70" spans="1:13" ht="80.099999999999994" customHeight="1" x14ac:dyDescent="0.2">
      <c r="A70" s="12" t="str">
        <f>$C$4&amp;"-"&amp;TEXT(COUNTA($D$12:D70),"00")</f>
        <v>TC-53</v>
      </c>
      <c r="B70" s="19"/>
      <c r="C70" s="6" t="s">
        <v>249</v>
      </c>
      <c r="D70" s="6" t="s">
        <v>250</v>
      </c>
      <c r="E70" s="6" t="s">
        <v>251</v>
      </c>
      <c r="F70" s="13"/>
      <c r="G70" s="14" t="s">
        <v>30</v>
      </c>
      <c r="H70" s="13"/>
      <c r="I70" s="13"/>
      <c r="J70" s="13"/>
      <c r="K70" s="13"/>
      <c r="L70" s="13"/>
      <c r="M70" s="13" t="s">
        <v>252</v>
      </c>
    </row>
    <row r="71" spans="1:13" ht="32.1" customHeight="1" x14ac:dyDescent="0.2">
      <c r="A71" s="12" t="str">
        <f>$C$4&amp;"-"&amp;TEXT(COUNTA($D$12:D71),"00")</f>
        <v>TC-54</v>
      </c>
      <c r="B71" s="19"/>
      <c r="C71" s="6" t="s">
        <v>253</v>
      </c>
      <c r="D71" s="6" t="s">
        <v>254</v>
      </c>
      <c r="E71" s="6" t="s">
        <v>255</v>
      </c>
      <c r="F71" s="13"/>
      <c r="G71" s="14" t="s">
        <v>30</v>
      </c>
      <c r="H71" s="13"/>
      <c r="I71" s="13"/>
      <c r="J71" s="13"/>
      <c r="K71" s="13"/>
      <c r="L71" s="13"/>
      <c r="M71" s="13" t="s">
        <v>256</v>
      </c>
    </row>
    <row r="72" spans="1:13" ht="32.1" customHeight="1" x14ac:dyDescent="0.2">
      <c r="A72" s="12" t="str">
        <f>$C$4&amp;"-"&amp;TEXT(COUNTA($D$12:D72),"00")</f>
        <v>TC-55</v>
      </c>
      <c r="B72" s="19"/>
      <c r="C72" s="6" t="s">
        <v>257</v>
      </c>
      <c r="D72" s="6" t="s">
        <v>258</v>
      </c>
      <c r="E72" s="6" t="s">
        <v>259</v>
      </c>
      <c r="F72" s="13"/>
      <c r="G72" s="14" t="s">
        <v>30</v>
      </c>
      <c r="H72" s="13"/>
      <c r="I72" s="13"/>
      <c r="J72" s="13"/>
      <c r="K72" s="13"/>
      <c r="L72" s="13"/>
      <c r="M72" s="13" t="s">
        <v>260</v>
      </c>
    </row>
    <row r="73" spans="1:13" ht="32.1" customHeight="1" x14ac:dyDescent="0.2">
      <c r="A73" s="12" t="str">
        <f>$C$4&amp;"-"&amp;TEXT(COUNTA($D$12:D73),"00")</f>
        <v>TC-56</v>
      </c>
      <c r="B73" s="19"/>
      <c r="C73" s="6" t="s">
        <v>261</v>
      </c>
      <c r="D73" s="6" t="s">
        <v>262</v>
      </c>
      <c r="E73" s="6" t="s">
        <v>263</v>
      </c>
      <c r="F73" s="13"/>
      <c r="G73" s="14" t="s">
        <v>30</v>
      </c>
      <c r="H73" s="13"/>
      <c r="I73" s="13"/>
      <c r="J73" s="13"/>
      <c r="K73" s="13"/>
      <c r="L73" s="13"/>
      <c r="M73" s="13" t="s">
        <v>264</v>
      </c>
    </row>
    <row r="74" spans="1:13" ht="48" customHeight="1" x14ac:dyDescent="0.2">
      <c r="A74" s="12" t="str">
        <f>$C$4&amp;"-"&amp;TEXT(COUNTA($D$12:D74),"00")</f>
        <v>TC-57</v>
      </c>
      <c r="B74" s="19"/>
      <c r="C74" s="6" t="s">
        <v>265</v>
      </c>
      <c r="D74" s="6" t="s">
        <v>266</v>
      </c>
      <c r="E74" s="6" t="s">
        <v>267</v>
      </c>
      <c r="F74" s="13"/>
      <c r="G74" s="14" t="s">
        <v>30</v>
      </c>
      <c r="H74" s="13"/>
      <c r="I74" s="13"/>
      <c r="J74" s="13"/>
      <c r="K74" s="13"/>
      <c r="L74" s="13"/>
      <c r="M74" s="13" t="s">
        <v>268</v>
      </c>
    </row>
    <row r="75" spans="1:13" ht="32.1" customHeight="1" x14ac:dyDescent="0.2">
      <c r="A75" s="12" t="str">
        <f>$C$4&amp;"-"&amp;TEXT(COUNTA($D$12:D75),"00")</f>
        <v>TC-58</v>
      </c>
      <c r="B75" s="19"/>
      <c r="C75" s="6" t="s">
        <v>269</v>
      </c>
      <c r="D75" s="6" t="s">
        <v>270</v>
      </c>
      <c r="E75" s="6" t="s">
        <v>271</v>
      </c>
      <c r="F75" s="13"/>
      <c r="G75" s="14" t="s">
        <v>30</v>
      </c>
      <c r="H75" s="13"/>
      <c r="I75" s="13"/>
      <c r="J75" s="13"/>
      <c r="K75" s="13"/>
      <c r="L75" s="13"/>
      <c r="M75" s="13" t="s">
        <v>272</v>
      </c>
    </row>
    <row r="76" spans="1:13" ht="32.1" customHeight="1" x14ac:dyDescent="0.2">
      <c r="A76" s="12" t="str">
        <f>$C$4&amp;"-"&amp;TEXT(COUNTA($D$12:D76),"00")</f>
        <v>TC-59</v>
      </c>
      <c r="B76" s="19"/>
      <c r="C76" s="6" t="s">
        <v>273</v>
      </c>
      <c r="D76" s="6" t="s">
        <v>274</v>
      </c>
      <c r="E76" s="6" t="s">
        <v>275</v>
      </c>
      <c r="F76" s="13"/>
      <c r="G76" s="14" t="s">
        <v>30</v>
      </c>
      <c r="H76" s="13"/>
      <c r="I76" s="13"/>
      <c r="J76" s="13"/>
      <c r="K76" s="13"/>
      <c r="L76" s="13"/>
      <c r="M76" s="13" t="s">
        <v>276</v>
      </c>
    </row>
    <row r="77" spans="1:13" ht="48" customHeight="1" x14ac:dyDescent="0.2">
      <c r="A77" s="12" t="str">
        <f>$C$4&amp;"-"&amp;TEXT(COUNTA($D$12:D77),"00")</f>
        <v>TC-60</v>
      </c>
      <c r="B77" s="20"/>
      <c r="C77" s="6" t="s">
        <v>277</v>
      </c>
      <c r="D77" s="6" t="s">
        <v>278</v>
      </c>
      <c r="E77" s="6" t="s">
        <v>279</v>
      </c>
      <c r="F77" s="13"/>
      <c r="G77" s="14" t="s">
        <v>30</v>
      </c>
      <c r="H77" s="13"/>
      <c r="I77" s="13"/>
      <c r="J77" s="13"/>
      <c r="K77" s="13"/>
      <c r="L77" s="13"/>
      <c r="M77" s="13" t="s">
        <v>280</v>
      </c>
    </row>
    <row r="78" spans="1:13" ht="32.1" customHeight="1" x14ac:dyDescent="0.2">
      <c r="A78" s="12" t="str">
        <f>$C$4&amp;"-"&amp;TEXT(COUNTA($D$12:D78),"00")</f>
        <v>TC-61</v>
      </c>
      <c r="B78" s="18" t="s">
        <v>281</v>
      </c>
      <c r="C78" s="6" t="s">
        <v>282</v>
      </c>
      <c r="D78" s="6" t="s">
        <v>283</v>
      </c>
      <c r="E78" s="6" t="s">
        <v>284</v>
      </c>
      <c r="F78" s="13"/>
      <c r="G78" s="14" t="s">
        <v>30</v>
      </c>
      <c r="H78" s="13"/>
      <c r="I78" s="13"/>
      <c r="J78" s="13"/>
      <c r="K78" s="13"/>
      <c r="L78" s="13"/>
      <c r="M78" s="13" t="s">
        <v>285</v>
      </c>
    </row>
    <row r="79" spans="1:13" ht="96" customHeight="1" x14ac:dyDescent="0.2">
      <c r="A79" s="12" t="str">
        <f>$C$4&amp;"-"&amp;TEXT(COUNTA($D$12:D79),"00")</f>
        <v>TC-62</v>
      </c>
      <c r="B79" s="20"/>
      <c r="C79" s="6" t="s">
        <v>286</v>
      </c>
      <c r="D79" s="6" t="s">
        <v>287</v>
      </c>
      <c r="E79" s="6" t="s">
        <v>288</v>
      </c>
      <c r="F79" s="13"/>
      <c r="G79" s="14" t="s">
        <v>30</v>
      </c>
      <c r="H79" s="13"/>
      <c r="I79" s="13"/>
      <c r="J79" s="13"/>
      <c r="K79" s="13"/>
      <c r="L79" s="13"/>
      <c r="M79" s="13" t="s">
        <v>289</v>
      </c>
    </row>
    <row r="80" spans="1:13" ht="32.1" customHeight="1" x14ac:dyDescent="0.2">
      <c r="A80" s="12" t="str">
        <f>$C$4&amp;"-"&amp;TEXT(COUNTA($D$12:D80),"00")</f>
        <v>TC-63</v>
      </c>
      <c r="B80" s="18" t="s">
        <v>290</v>
      </c>
      <c r="C80" s="6" t="s">
        <v>291</v>
      </c>
      <c r="D80" s="6" t="s">
        <v>292</v>
      </c>
      <c r="E80" s="6" t="s">
        <v>293</v>
      </c>
      <c r="F80" s="13" t="s">
        <v>294</v>
      </c>
      <c r="G80" s="14" t="s">
        <v>30</v>
      </c>
      <c r="H80" s="13"/>
      <c r="I80" s="13"/>
      <c r="J80" s="13"/>
      <c r="K80" s="13"/>
      <c r="L80" s="13"/>
      <c r="M80" s="13" t="s">
        <v>295</v>
      </c>
    </row>
    <row r="81" spans="1:13" ht="63.95" customHeight="1" x14ac:dyDescent="0.2">
      <c r="A81" s="12" t="str">
        <f>$C$4&amp;"-"&amp;TEXT(COUNTA($D$12:D81),"00")</f>
        <v>TC-64</v>
      </c>
      <c r="B81" s="20"/>
      <c r="C81" s="6" t="s">
        <v>296</v>
      </c>
      <c r="D81" s="6" t="s">
        <v>297</v>
      </c>
      <c r="E81" s="6" t="s">
        <v>298</v>
      </c>
      <c r="F81" s="13" t="s">
        <v>299</v>
      </c>
      <c r="G81" s="14" t="s">
        <v>30</v>
      </c>
      <c r="H81" s="13"/>
      <c r="I81" s="13"/>
      <c r="J81" s="13"/>
      <c r="K81" s="13"/>
      <c r="L81" s="13"/>
      <c r="M81" s="13" t="s">
        <v>300</v>
      </c>
    </row>
    <row r="82" spans="1:13" ht="48" customHeight="1" x14ac:dyDescent="0.2">
      <c r="A82" s="12" t="str">
        <f>$C$4&amp;"-"&amp;TEXT(COUNTA($D$12:D82),"00")</f>
        <v>TC-65</v>
      </c>
      <c r="B82" s="18" t="s">
        <v>301</v>
      </c>
      <c r="C82" s="6" t="s">
        <v>302</v>
      </c>
      <c r="D82" s="6" t="s">
        <v>303</v>
      </c>
      <c r="E82" s="6" t="s">
        <v>304</v>
      </c>
      <c r="F82" s="13"/>
      <c r="G82" s="14" t="s">
        <v>30</v>
      </c>
      <c r="H82" s="13"/>
      <c r="I82" s="13"/>
      <c r="J82" s="13"/>
      <c r="K82" s="13"/>
      <c r="L82" s="13"/>
      <c r="M82" s="13" t="s">
        <v>305</v>
      </c>
    </row>
    <row r="83" spans="1:13" ht="63.95" customHeight="1" x14ac:dyDescent="0.2">
      <c r="A83" s="12" t="str">
        <f>$C$4&amp;"-"&amp;TEXT(COUNTA($D$12:D83),"00")</f>
        <v>TC-66</v>
      </c>
      <c r="B83" s="20"/>
      <c r="C83" s="6" t="s">
        <v>306</v>
      </c>
      <c r="D83" s="6" t="s">
        <v>307</v>
      </c>
      <c r="E83" s="6" t="s">
        <v>308</v>
      </c>
      <c r="F83" s="13"/>
      <c r="G83" s="14" t="s">
        <v>30</v>
      </c>
      <c r="H83" s="13"/>
      <c r="I83" s="13"/>
      <c r="J83" s="13"/>
      <c r="K83" s="13"/>
      <c r="L83" s="13"/>
      <c r="M83" s="13" t="s">
        <v>309</v>
      </c>
    </row>
    <row r="84" spans="1:13" ht="48" customHeight="1" x14ac:dyDescent="0.2">
      <c r="A84" s="12" t="str">
        <f>$C$4&amp;"-"&amp;TEXT(COUNTA($D$12:D84),"00")</f>
        <v>TC-67</v>
      </c>
      <c r="B84" s="6" t="s">
        <v>310</v>
      </c>
      <c r="C84" s="6" t="s">
        <v>311</v>
      </c>
      <c r="D84" s="6" t="s">
        <v>312</v>
      </c>
      <c r="E84" s="6" t="s">
        <v>313</v>
      </c>
      <c r="F84" s="13"/>
      <c r="G84" s="14" t="s">
        <v>30</v>
      </c>
      <c r="H84" s="13"/>
      <c r="I84" s="13"/>
      <c r="J84" s="13"/>
      <c r="K84" s="13"/>
      <c r="L84" s="13"/>
      <c r="M84" s="13" t="s">
        <v>314</v>
      </c>
    </row>
    <row r="85" spans="1:13" ht="48" customHeight="1" x14ac:dyDescent="0.2">
      <c r="A85" s="12" t="str">
        <f>$C$4&amp;"-"&amp;TEXT(COUNTA($D$12:D85),"00")</f>
        <v>TC-68</v>
      </c>
      <c r="B85" s="18" t="s">
        <v>315</v>
      </c>
      <c r="C85" s="6" t="s">
        <v>316</v>
      </c>
      <c r="D85" s="6" t="s">
        <v>317</v>
      </c>
      <c r="E85" s="6" t="s">
        <v>318</v>
      </c>
      <c r="F85" s="13"/>
      <c r="G85" s="14" t="s">
        <v>30</v>
      </c>
      <c r="H85" s="13"/>
      <c r="I85" s="13"/>
      <c r="J85" s="13"/>
      <c r="K85" s="13"/>
      <c r="L85" s="13"/>
      <c r="M85" s="13" t="s">
        <v>319</v>
      </c>
    </row>
    <row r="86" spans="1:13" ht="63.95" customHeight="1" x14ac:dyDescent="0.2">
      <c r="A86" s="12" t="str">
        <f>$C$4&amp;"-"&amp;TEXT(COUNTA($D$12:D86),"00")</f>
        <v>TC-69</v>
      </c>
      <c r="B86" s="19"/>
      <c r="C86" s="6" t="s">
        <v>320</v>
      </c>
      <c r="D86" s="6" t="s">
        <v>321</v>
      </c>
      <c r="E86" s="6" t="s">
        <v>322</v>
      </c>
      <c r="F86" s="13"/>
      <c r="G86" s="14" t="s">
        <v>30</v>
      </c>
      <c r="H86" s="13"/>
      <c r="I86" s="13"/>
      <c r="J86" s="13"/>
      <c r="K86" s="13"/>
      <c r="L86" s="13"/>
      <c r="M86" s="13" t="s">
        <v>323</v>
      </c>
    </row>
    <row r="87" spans="1:13" ht="48" customHeight="1" x14ac:dyDescent="0.2">
      <c r="A87" s="12" t="str">
        <f>$C$4&amp;"-"&amp;TEXT(COUNTA($D$12:D87),"00")</f>
        <v>TC-70</v>
      </c>
      <c r="B87" s="19"/>
      <c r="C87" s="6" t="s">
        <v>324</v>
      </c>
      <c r="D87" s="6" t="s">
        <v>325</v>
      </c>
      <c r="E87" s="6" t="s">
        <v>326</v>
      </c>
      <c r="F87" s="13"/>
      <c r="G87" s="14" t="s">
        <v>30</v>
      </c>
      <c r="H87" s="13"/>
      <c r="I87" s="13"/>
      <c r="J87" s="13"/>
      <c r="K87" s="13"/>
      <c r="L87" s="13"/>
      <c r="M87" s="13" t="s">
        <v>319</v>
      </c>
    </row>
    <row r="88" spans="1:13" ht="48" customHeight="1" x14ac:dyDescent="0.2">
      <c r="A88" s="12" t="str">
        <f>$C$4&amp;"-"&amp;TEXT(COUNTA($D$12:D88),"00")</f>
        <v>TC-71</v>
      </c>
      <c r="B88" s="19"/>
      <c r="C88" s="6" t="s">
        <v>327</v>
      </c>
      <c r="D88" s="6" t="s">
        <v>328</v>
      </c>
      <c r="E88" s="6" t="s">
        <v>329</v>
      </c>
      <c r="F88" s="13"/>
      <c r="G88" s="14" t="s">
        <v>30</v>
      </c>
      <c r="H88" s="13"/>
      <c r="I88" s="13"/>
      <c r="J88" s="13"/>
      <c r="K88" s="13"/>
      <c r="L88" s="13"/>
      <c r="M88" s="13" t="s">
        <v>319</v>
      </c>
    </row>
    <row r="89" spans="1:13" ht="63.95" customHeight="1" x14ac:dyDescent="0.2">
      <c r="A89" s="12" t="str">
        <f>$C$4&amp;"-"&amp;TEXT(COUNTA($D$12:D89),"00")</f>
        <v>TC-72</v>
      </c>
      <c r="B89" s="20"/>
      <c r="C89" s="6" t="s">
        <v>330</v>
      </c>
      <c r="D89" s="6" t="s">
        <v>331</v>
      </c>
      <c r="E89" s="6" t="s">
        <v>332</v>
      </c>
      <c r="F89" s="13"/>
      <c r="G89" s="14" t="s">
        <v>30</v>
      </c>
      <c r="H89" s="13"/>
      <c r="I89" s="13"/>
      <c r="J89" s="13"/>
      <c r="K89" s="13"/>
      <c r="L89" s="13"/>
      <c r="M89" s="13" t="s">
        <v>333</v>
      </c>
    </row>
    <row r="90" spans="1:13" ht="32.1" customHeight="1" x14ac:dyDescent="0.2">
      <c r="A90" s="12" t="str">
        <f>$C$4&amp;"-"&amp;TEXT(COUNTA($D$12:D90),"00")</f>
        <v>TC-73</v>
      </c>
      <c r="B90" s="18" t="s">
        <v>334</v>
      </c>
      <c r="C90" s="6" t="s">
        <v>335</v>
      </c>
      <c r="D90" s="6" t="s">
        <v>336</v>
      </c>
      <c r="E90" s="6" t="s">
        <v>337</v>
      </c>
      <c r="F90" s="13" t="s">
        <v>338</v>
      </c>
      <c r="G90" s="14" t="s">
        <v>30</v>
      </c>
      <c r="H90" s="13"/>
      <c r="I90" s="13"/>
      <c r="J90" s="13"/>
      <c r="K90" s="13"/>
      <c r="L90" s="13"/>
      <c r="M90" s="13" t="s">
        <v>339</v>
      </c>
    </row>
    <row r="91" spans="1:13" ht="32.1" customHeight="1" x14ac:dyDescent="0.2">
      <c r="A91" s="12" t="str">
        <f>$C$4&amp;"-"&amp;TEXT(COUNTA($D$12:D91),"00")</f>
        <v>TC-74</v>
      </c>
      <c r="B91" s="20"/>
      <c r="C91" s="6" t="s">
        <v>340</v>
      </c>
      <c r="D91" s="6" t="s">
        <v>341</v>
      </c>
      <c r="E91" s="6" t="s">
        <v>342</v>
      </c>
      <c r="F91" s="13"/>
      <c r="G91" s="14" t="s">
        <v>30</v>
      </c>
      <c r="H91" s="13"/>
      <c r="I91" s="13"/>
      <c r="J91" s="13"/>
      <c r="K91" s="13"/>
      <c r="L91" s="13"/>
      <c r="M91" s="13" t="s">
        <v>343</v>
      </c>
    </row>
    <row r="92" spans="1:13" ht="32.1" customHeight="1" x14ac:dyDescent="0.2">
      <c r="A92" s="12" t="str">
        <f>$C$4&amp;"-"&amp;TEXT(COUNTA($D$12:D92),"00")</f>
        <v>TC-75</v>
      </c>
      <c r="B92" s="6" t="s">
        <v>344</v>
      </c>
      <c r="C92" s="6" t="s">
        <v>345</v>
      </c>
      <c r="D92" s="6" t="s">
        <v>346</v>
      </c>
      <c r="E92" s="6" t="s">
        <v>347</v>
      </c>
      <c r="F92" s="13" t="s">
        <v>348</v>
      </c>
      <c r="G92" s="14" t="s">
        <v>30</v>
      </c>
      <c r="H92" s="13"/>
      <c r="I92" s="13"/>
      <c r="J92" s="13"/>
      <c r="K92" s="13"/>
      <c r="L92" s="13"/>
      <c r="M92" s="13" t="s">
        <v>349</v>
      </c>
    </row>
    <row r="93" spans="1:13" ht="32.1" customHeight="1" x14ac:dyDescent="0.2">
      <c r="A93" s="12" t="str">
        <f>$C$4&amp;"-"&amp;TEXT(COUNTA($D$12:D93),"00")</f>
        <v>TC-76</v>
      </c>
      <c r="B93" s="18" t="s">
        <v>350</v>
      </c>
      <c r="C93" s="6" t="s">
        <v>351</v>
      </c>
      <c r="D93" s="6" t="s">
        <v>352</v>
      </c>
      <c r="E93" s="6" t="s">
        <v>353</v>
      </c>
      <c r="F93" s="13"/>
      <c r="G93" s="14" t="s">
        <v>30</v>
      </c>
      <c r="H93" s="13"/>
      <c r="I93" s="13"/>
      <c r="J93" s="13"/>
      <c r="K93" s="13"/>
      <c r="L93" s="13"/>
      <c r="M93" s="13" t="s">
        <v>354</v>
      </c>
    </row>
    <row r="94" spans="1:13" ht="32.1" customHeight="1" x14ac:dyDescent="0.2">
      <c r="A94" s="12" t="str">
        <f>$C$4&amp;"-"&amp;TEXT(COUNTA($D$12:D94),"00")</f>
        <v>TC-77</v>
      </c>
      <c r="B94" s="19"/>
      <c r="C94" s="6" t="s">
        <v>355</v>
      </c>
      <c r="D94" s="6" t="s">
        <v>356</v>
      </c>
      <c r="E94" s="6" t="s">
        <v>357</v>
      </c>
      <c r="F94" s="13"/>
      <c r="G94" s="14" t="s">
        <v>30</v>
      </c>
      <c r="H94" s="13"/>
      <c r="I94" s="13"/>
      <c r="J94" s="13"/>
      <c r="K94" s="13"/>
      <c r="L94" s="13"/>
      <c r="M94" s="13" t="s">
        <v>354</v>
      </c>
    </row>
    <row r="95" spans="1:13" ht="32.1" customHeight="1" x14ac:dyDescent="0.2">
      <c r="A95" s="12" t="str">
        <f>$C$4&amp;"-"&amp;TEXT(COUNTA($D$12:D95),"00")</f>
        <v>TC-78</v>
      </c>
      <c r="B95" s="19"/>
      <c r="C95" s="6" t="s">
        <v>358</v>
      </c>
      <c r="D95" s="6" t="s">
        <v>359</v>
      </c>
      <c r="E95" s="6" t="s">
        <v>360</v>
      </c>
      <c r="F95" s="13"/>
      <c r="G95" s="14" t="s">
        <v>30</v>
      </c>
      <c r="H95" s="13"/>
      <c r="I95" s="13"/>
      <c r="J95" s="13"/>
      <c r="K95" s="13"/>
      <c r="L95" s="13"/>
      <c r="M95" s="13" t="s">
        <v>354</v>
      </c>
    </row>
    <row r="96" spans="1:13" ht="63.95" customHeight="1" x14ac:dyDescent="0.2">
      <c r="A96" s="12" t="str">
        <f>$C$4&amp;"-"&amp;TEXT(COUNTA($D$12:D96),"00")</f>
        <v>TC-79</v>
      </c>
      <c r="B96" s="19"/>
      <c r="C96" s="6" t="s">
        <v>361</v>
      </c>
      <c r="D96" s="6" t="s">
        <v>362</v>
      </c>
      <c r="E96" s="6" t="s">
        <v>363</v>
      </c>
      <c r="F96" s="13"/>
      <c r="G96" s="14" t="s">
        <v>30</v>
      </c>
      <c r="H96" s="13"/>
      <c r="I96" s="13"/>
      <c r="J96" s="13"/>
      <c r="K96" s="13"/>
      <c r="L96" s="13"/>
      <c r="M96" s="13" t="s">
        <v>364</v>
      </c>
    </row>
    <row r="97" spans="1:13" ht="80.099999999999994" customHeight="1" x14ac:dyDescent="0.2">
      <c r="A97" s="12" t="str">
        <f>$C$4&amp;"-"&amp;TEXT(COUNTA($D$12:D97),"00")</f>
        <v>TC-80</v>
      </c>
      <c r="B97" s="20"/>
      <c r="C97" s="6" t="s">
        <v>365</v>
      </c>
      <c r="D97" s="6" t="s">
        <v>366</v>
      </c>
      <c r="E97" s="6" t="s">
        <v>367</v>
      </c>
      <c r="F97" s="13"/>
      <c r="G97" s="14" t="s">
        <v>30</v>
      </c>
      <c r="H97" s="13"/>
      <c r="I97" s="13"/>
      <c r="J97" s="13"/>
      <c r="K97" s="13"/>
      <c r="L97" s="13"/>
      <c r="M97" s="13" t="s">
        <v>368</v>
      </c>
    </row>
    <row r="98" spans="1:13" ht="32.1" customHeight="1" x14ac:dyDescent="0.2">
      <c r="A98" s="12" t="str">
        <f>$C$4&amp;"-"&amp;TEXT(COUNTA($D$12:D98),"00")</f>
        <v>TC-81</v>
      </c>
      <c r="B98" s="18" t="s">
        <v>369</v>
      </c>
      <c r="C98" s="6" t="s">
        <v>370</v>
      </c>
      <c r="D98" s="6" t="s">
        <v>371</v>
      </c>
      <c r="E98" s="6" t="s">
        <v>372</v>
      </c>
      <c r="F98" s="13"/>
      <c r="G98" s="14" t="s">
        <v>30</v>
      </c>
      <c r="H98" s="13"/>
      <c r="I98" s="13"/>
      <c r="J98" s="13"/>
      <c r="K98" s="13"/>
      <c r="L98" s="13"/>
      <c r="M98" s="13" t="s">
        <v>373</v>
      </c>
    </row>
    <row r="99" spans="1:13" ht="63.95" customHeight="1" x14ac:dyDescent="0.2">
      <c r="A99" s="12" t="str">
        <f>$C$4&amp;"-"&amp;TEXT(COUNTA($D$12:D99),"00")</f>
        <v>TC-82</v>
      </c>
      <c r="B99" s="20"/>
      <c r="C99" s="6" t="s">
        <v>374</v>
      </c>
      <c r="D99" s="6" t="s">
        <v>375</v>
      </c>
      <c r="E99" s="6" t="s">
        <v>376</v>
      </c>
      <c r="F99" s="13"/>
      <c r="G99" s="14" t="s">
        <v>30</v>
      </c>
      <c r="H99" s="13"/>
      <c r="I99" s="13"/>
      <c r="J99" s="13"/>
      <c r="K99" s="13"/>
      <c r="L99" s="13"/>
      <c r="M99" s="13" t="s">
        <v>377</v>
      </c>
    </row>
    <row r="100" spans="1:13" ht="20.100000000000001" customHeight="1" x14ac:dyDescent="0.2">
      <c r="A100" s="28" t="s">
        <v>378</v>
      </c>
      <c r="B100" s="24"/>
      <c r="C100" s="24"/>
      <c r="D100" s="24"/>
      <c r="E100" s="24"/>
      <c r="F100" s="24"/>
      <c r="G100" s="24"/>
      <c r="H100" s="24"/>
      <c r="I100" s="24"/>
      <c r="J100" s="24"/>
      <c r="K100" s="25"/>
      <c r="L100" s="13"/>
      <c r="M100" s="13"/>
    </row>
    <row r="101" spans="1:13" ht="32.1" customHeight="1" x14ac:dyDescent="0.2">
      <c r="A101" s="12" t="str">
        <f>$C$4&amp;"-"&amp;TEXT(COUNTA($D$12:D101),"00")</f>
        <v>TC-83</v>
      </c>
      <c r="B101" s="18" t="s">
        <v>379</v>
      </c>
      <c r="C101" s="6" t="s">
        <v>380</v>
      </c>
      <c r="D101" s="6" t="s">
        <v>381</v>
      </c>
      <c r="E101" s="6" t="s">
        <v>382</v>
      </c>
      <c r="F101" s="13"/>
      <c r="G101" s="14" t="s">
        <v>30</v>
      </c>
      <c r="H101" s="13"/>
      <c r="I101" s="13"/>
      <c r="J101" s="13"/>
      <c r="K101" s="13"/>
      <c r="L101" s="13"/>
      <c r="M101" s="13" t="s">
        <v>383</v>
      </c>
    </row>
    <row r="102" spans="1:13" ht="32.1" customHeight="1" x14ac:dyDescent="0.2">
      <c r="A102" s="12" t="str">
        <f>$C$4&amp;"-"&amp;TEXT(COUNTA($D$12:D102),"00")</f>
        <v>TC-84</v>
      </c>
      <c r="B102" s="19"/>
      <c r="C102" s="6" t="s">
        <v>384</v>
      </c>
      <c r="D102" s="6" t="s">
        <v>385</v>
      </c>
      <c r="E102" s="6" t="s">
        <v>386</v>
      </c>
      <c r="F102" s="13"/>
      <c r="G102" s="14" t="s">
        <v>30</v>
      </c>
      <c r="H102" s="13"/>
      <c r="I102" s="13"/>
      <c r="J102" s="13"/>
      <c r="K102" s="13"/>
      <c r="L102" s="13"/>
      <c r="M102" s="13" t="s">
        <v>383</v>
      </c>
    </row>
    <row r="103" spans="1:13" ht="48" customHeight="1" x14ac:dyDescent="0.2">
      <c r="A103" s="12" t="str">
        <f>$C$4&amp;"-"&amp;TEXT(COUNTA($D$12:D103),"00")</f>
        <v>TC-85</v>
      </c>
      <c r="B103" s="19"/>
      <c r="C103" s="6" t="s">
        <v>387</v>
      </c>
      <c r="D103" s="6" t="s">
        <v>388</v>
      </c>
      <c r="E103" s="6" t="s">
        <v>389</v>
      </c>
      <c r="F103" s="13"/>
      <c r="G103" s="14" t="s">
        <v>30</v>
      </c>
      <c r="H103" s="13"/>
      <c r="I103" s="13"/>
      <c r="J103" s="13"/>
      <c r="K103" s="13"/>
      <c r="L103" s="13"/>
      <c r="M103" s="13" t="s">
        <v>383</v>
      </c>
    </row>
    <row r="104" spans="1:13" ht="48" customHeight="1" x14ac:dyDescent="0.2">
      <c r="A104" s="12" t="str">
        <f>$C$4&amp;"-"&amp;TEXT(COUNTA($D$12:D104),"00")</f>
        <v>TC-86</v>
      </c>
      <c r="B104" s="20"/>
      <c r="C104" s="6" t="s">
        <v>390</v>
      </c>
      <c r="D104" s="6" t="s">
        <v>391</v>
      </c>
      <c r="E104" s="6" t="s">
        <v>392</v>
      </c>
      <c r="F104" s="13"/>
      <c r="G104" s="14" t="s">
        <v>30</v>
      </c>
      <c r="H104" s="13"/>
      <c r="I104" s="13"/>
      <c r="J104" s="13"/>
      <c r="K104" s="13"/>
      <c r="L104" s="13"/>
      <c r="M104" s="13" t="s">
        <v>393</v>
      </c>
    </row>
    <row r="105" spans="1:13" ht="32.1" customHeight="1" x14ac:dyDescent="0.2">
      <c r="A105" s="12" t="str">
        <f>$C$4&amp;"-"&amp;TEXT(COUNTA($D$12:D105),"00")</f>
        <v>TC-87</v>
      </c>
      <c r="B105" s="18" t="s">
        <v>394</v>
      </c>
      <c r="C105" s="6" t="s">
        <v>395</v>
      </c>
      <c r="D105" s="6" t="s">
        <v>396</v>
      </c>
      <c r="E105" s="6" t="s">
        <v>397</v>
      </c>
      <c r="F105" s="13"/>
      <c r="G105" s="14" t="s">
        <v>30</v>
      </c>
      <c r="H105" s="13"/>
      <c r="I105" s="13"/>
      <c r="J105" s="13"/>
      <c r="K105" s="13"/>
      <c r="L105" s="13"/>
      <c r="M105" s="13" t="s">
        <v>398</v>
      </c>
    </row>
    <row r="106" spans="1:13" ht="48" customHeight="1" x14ac:dyDescent="0.2">
      <c r="A106" s="12" t="str">
        <f>$C$4&amp;"-"&amp;TEXT(COUNTA($D$12:D106),"00")</f>
        <v>TC-88</v>
      </c>
      <c r="B106" s="20"/>
      <c r="C106" s="6" t="s">
        <v>399</v>
      </c>
      <c r="D106" s="6" t="s">
        <v>400</v>
      </c>
      <c r="E106" s="6" t="s">
        <v>401</v>
      </c>
      <c r="F106" s="13"/>
      <c r="G106" s="14" t="s">
        <v>30</v>
      </c>
      <c r="H106" s="13"/>
      <c r="I106" s="13"/>
      <c r="J106" s="13"/>
      <c r="K106" s="13"/>
      <c r="L106" s="13"/>
      <c r="M106" s="13" t="s">
        <v>402</v>
      </c>
    </row>
    <row r="107" spans="1:13" ht="48" customHeight="1" x14ac:dyDescent="0.2">
      <c r="A107" s="12" t="str">
        <f>$C$4&amp;"-"&amp;TEXT(COUNTA($D$12:D107),"00")</f>
        <v>TC-89</v>
      </c>
      <c r="B107" s="18" t="s">
        <v>403</v>
      </c>
      <c r="C107" s="6" t="s">
        <v>404</v>
      </c>
      <c r="D107" s="6" t="s">
        <v>405</v>
      </c>
      <c r="E107" s="6" t="s">
        <v>406</v>
      </c>
      <c r="F107" s="13"/>
      <c r="G107" s="14" t="s">
        <v>30</v>
      </c>
      <c r="H107" s="13"/>
      <c r="I107" s="13"/>
      <c r="J107" s="13"/>
      <c r="K107" s="13"/>
      <c r="L107" s="13"/>
      <c r="M107" s="13" t="s">
        <v>407</v>
      </c>
    </row>
    <row r="108" spans="1:13" ht="48" customHeight="1" x14ac:dyDescent="0.2">
      <c r="A108" s="12" t="str">
        <f>$C$4&amp;"-"&amp;TEXT(COUNTA($D$12:D108),"00")</f>
        <v>TC-90</v>
      </c>
      <c r="B108" s="19"/>
      <c r="C108" s="6" t="s">
        <v>408</v>
      </c>
      <c r="D108" s="6" t="s">
        <v>409</v>
      </c>
      <c r="E108" s="6" t="s">
        <v>410</v>
      </c>
      <c r="F108" s="13"/>
      <c r="G108" s="14" t="s">
        <v>30</v>
      </c>
      <c r="H108" s="13"/>
      <c r="I108" s="13"/>
      <c r="J108" s="13"/>
      <c r="K108" s="13"/>
      <c r="L108" s="13"/>
      <c r="M108" s="13" t="s">
        <v>407</v>
      </c>
    </row>
    <row r="109" spans="1:13" ht="48" customHeight="1" x14ac:dyDescent="0.2">
      <c r="A109" s="12" t="str">
        <f>$C$4&amp;"-"&amp;TEXT(COUNTA($D$12:D109),"00")</f>
        <v>TC-91</v>
      </c>
      <c r="B109" s="19"/>
      <c r="C109" s="6" t="s">
        <v>411</v>
      </c>
      <c r="D109" s="6" t="s">
        <v>412</v>
      </c>
      <c r="E109" s="6" t="s">
        <v>413</v>
      </c>
      <c r="F109" s="13"/>
      <c r="G109" s="14" t="s">
        <v>30</v>
      </c>
      <c r="H109" s="13"/>
      <c r="I109" s="13"/>
      <c r="J109" s="13"/>
      <c r="K109" s="13"/>
      <c r="L109" s="13"/>
      <c r="M109" s="13" t="s">
        <v>414</v>
      </c>
    </row>
    <row r="110" spans="1:13" ht="32.1" customHeight="1" x14ac:dyDescent="0.2">
      <c r="A110" s="12" t="str">
        <f>$C$4&amp;"-"&amp;TEXT(COUNTA($D$12:D110),"00")</f>
        <v>TC-92</v>
      </c>
      <c r="B110" s="19"/>
      <c r="C110" s="6" t="s">
        <v>415</v>
      </c>
      <c r="D110" s="6" t="s">
        <v>416</v>
      </c>
      <c r="E110" s="6" t="s">
        <v>417</v>
      </c>
      <c r="F110" s="13"/>
      <c r="G110" s="14" t="s">
        <v>30</v>
      </c>
      <c r="H110" s="13"/>
      <c r="I110" s="13"/>
      <c r="J110" s="13"/>
      <c r="K110" s="13"/>
      <c r="L110" s="13"/>
      <c r="M110" s="13" t="s">
        <v>414</v>
      </c>
    </row>
    <row r="111" spans="1:13" ht="48" customHeight="1" x14ac:dyDescent="0.2">
      <c r="A111" s="12" t="str">
        <f>$C$4&amp;"-"&amp;TEXT(COUNTA($D$12:D111),"00")</f>
        <v>TC-93</v>
      </c>
      <c r="B111" s="19"/>
      <c r="C111" s="6" t="s">
        <v>418</v>
      </c>
      <c r="D111" s="6" t="s">
        <v>419</v>
      </c>
      <c r="E111" s="6" t="s">
        <v>420</v>
      </c>
      <c r="F111" s="13"/>
      <c r="G111" s="14" t="s">
        <v>30</v>
      </c>
      <c r="H111" s="13"/>
      <c r="I111" s="13"/>
      <c r="J111" s="13"/>
      <c r="K111" s="13"/>
      <c r="L111" s="13"/>
      <c r="M111" s="13" t="s">
        <v>407</v>
      </c>
    </row>
    <row r="112" spans="1:13" ht="32.1" customHeight="1" x14ac:dyDescent="0.2">
      <c r="A112" s="12" t="str">
        <f>$C$4&amp;"-"&amp;TEXT(COUNTA($D$12:D112),"00")</f>
        <v>TC-94</v>
      </c>
      <c r="B112" s="20"/>
      <c r="C112" s="6" t="s">
        <v>421</v>
      </c>
      <c r="D112" s="6" t="s">
        <v>422</v>
      </c>
      <c r="E112" s="6" t="s">
        <v>423</v>
      </c>
      <c r="F112" s="13"/>
      <c r="G112" s="14" t="s">
        <v>30</v>
      </c>
      <c r="H112" s="13"/>
      <c r="I112" s="13"/>
      <c r="J112" s="13"/>
      <c r="K112" s="13"/>
      <c r="L112" s="13"/>
      <c r="M112" s="13" t="s">
        <v>414</v>
      </c>
    </row>
    <row r="113" spans="1:13" ht="20.100000000000001" customHeight="1" x14ac:dyDescent="0.2">
      <c r="A113" s="28" t="s">
        <v>424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5"/>
      <c r="L113" s="13"/>
      <c r="M113" s="13"/>
    </row>
    <row r="114" spans="1:13" ht="48" customHeight="1" x14ac:dyDescent="0.2">
      <c r="A114" s="12" t="str">
        <f>$C$4&amp;"-"&amp;TEXT(COUNTA($D$12:D114),"00")</f>
        <v>TC-95</v>
      </c>
      <c r="B114" s="18" t="s">
        <v>425</v>
      </c>
      <c r="C114" s="6" t="s">
        <v>426</v>
      </c>
      <c r="D114" s="6" t="s">
        <v>427</v>
      </c>
      <c r="E114" s="6" t="s">
        <v>428</v>
      </c>
      <c r="F114" s="13"/>
      <c r="G114" s="14" t="s">
        <v>30</v>
      </c>
      <c r="H114" s="13"/>
      <c r="I114" s="13"/>
      <c r="J114" s="13"/>
      <c r="K114" s="13"/>
      <c r="L114" s="13"/>
      <c r="M114" s="13" t="s">
        <v>429</v>
      </c>
    </row>
    <row r="115" spans="1:13" ht="48" customHeight="1" x14ac:dyDescent="0.2">
      <c r="A115" s="12" t="str">
        <f>$C$4&amp;"-"&amp;TEXT(COUNTA($D$12:D115),"00")</f>
        <v>TC-96</v>
      </c>
      <c r="B115" s="20"/>
      <c r="C115" s="6" t="s">
        <v>430</v>
      </c>
      <c r="D115" s="6" t="s">
        <v>431</v>
      </c>
      <c r="E115" s="6" t="s">
        <v>432</v>
      </c>
      <c r="F115" s="13"/>
      <c r="G115" s="14" t="s">
        <v>30</v>
      </c>
      <c r="H115" s="13"/>
      <c r="I115" s="13"/>
      <c r="J115" s="13"/>
      <c r="K115" s="13"/>
      <c r="L115" s="13"/>
      <c r="M115" s="13" t="s">
        <v>429</v>
      </c>
    </row>
    <row r="116" spans="1:13" ht="48" customHeight="1" x14ac:dyDescent="0.2">
      <c r="A116" s="12" t="str">
        <f>$C$4&amp;"-"&amp;TEXT(COUNTA($D$12:D116),"00")</f>
        <v>TC-97</v>
      </c>
      <c r="B116" s="6" t="s">
        <v>433</v>
      </c>
      <c r="C116" s="6" t="s">
        <v>434</v>
      </c>
      <c r="D116" s="6" t="s">
        <v>435</v>
      </c>
      <c r="E116" s="6" t="s">
        <v>436</v>
      </c>
      <c r="F116" s="13"/>
      <c r="G116" s="14" t="s">
        <v>30</v>
      </c>
      <c r="H116" s="13"/>
      <c r="I116" s="13"/>
      <c r="J116" s="13"/>
      <c r="K116" s="13"/>
      <c r="L116" s="13"/>
      <c r="M116" s="13" t="s">
        <v>437</v>
      </c>
    </row>
    <row r="117" spans="1:13" ht="80.099999999999994" customHeight="1" x14ac:dyDescent="0.2">
      <c r="A117" s="12" t="str">
        <f>$C$4&amp;"-"&amp;TEXT(COUNTA($D$12:D117),"00")</f>
        <v>TC-98</v>
      </c>
      <c r="B117" s="6" t="s">
        <v>438</v>
      </c>
      <c r="C117" s="6" t="s">
        <v>439</v>
      </c>
      <c r="D117" s="6" t="s">
        <v>440</v>
      </c>
      <c r="E117" s="6" t="s">
        <v>441</v>
      </c>
      <c r="F117" s="13"/>
      <c r="G117" s="14" t="s">
        <v>30</v>
      </c>
      <c r="H117" s="13"/>
      <c r="I117" s="13"/>
      <c r="J117" s="13"/>
      <c r="K117" s="13"/>
      <c r="L117" s="13"/>
      <c r="M117" s="13" t="s">
        <v>442</v>
      </c>
    </row>
    <row r="118" spans="1:13" ht="32.1" customHeight="1" x14ac:dyDescent="0.2">
      <c r="A118" s="12" t="str">
        <f>$C$4&amp;"-"&amp;TEXT(COUNTA($D$12:D118),"00")</f>
        <v>TC-99</v>
      </c>
      <c r="B118" s="6" t="s">
        <v>443</v>
      </c>
      <c r="C118" s="6" t="s">
        <v>444</v>
      </c>
      <c r="D118" s="6" t="s">
        <v>445</v>
      </c>
      <c r="E118" s="6" t="s">
        <v>446</v>
      </c>
      <c r="F118" s="13"/>
      <c r="G118" s="14" t="s">
        <v>30</v>
      </c>
      <c r="H118" s="13"/>
      <c r="I118" s="13"/>
      <c r="J118" s="13"/>
      <c r="K118" s="13"/>
      <c r="L118" s="13"/>
      <c r="M118" s="13" t="s">
        <v>447</v>
      </c>
    </row>
    <row r="119" spans="1:13" ht="48" customHeight="1" x14ac:dyDescent="0.2">
      <c r="A119" s="12" t="str">
        <f>$C$4&amp;"-"&amp;TEXT(COUNTA($D$12:D119),"00")</f>
        <v>TC-100</v>
      </c>
      <c r="B119" s="6" t="s">
        <v>448</v>
      </c>
      <c r="C119" s="6" t="s">
        <v>449</v>
      </c>
      <c r="D119" s="6" t="s">
        <v>450</v>
      </c>
      <c r="E119" s="6" t="s">
        <v>451</v>
      </c>
      <c r="F119" s="13"/>
      <c r="G119" s="14" t="s">
        <v>30</v>
      </c>
      <c r="H119" s="13"/>
      <c r="I119" s="13"/>
      <c r="J119" s="13"/>
      <c r="K119" s="13"/>
      <c r="L119" s="13"/>
      <c r="M119" s="13" t="s">
        <v>452</v>
      </c>
    </row>
    <row r="120" spans="1:13" ht="20.100000000000001" customHeight="1" x14ac:dyDescent="0.2">
      <c r="A120" s="30" t="s">
        <v>453</v>
      </c>
      <c r="B120" s="24"/>
      <c r="C120" s="25"/>
      <c r="D120" s="11"/>
      <c r="E120" s="11"/>
      <c r="F120" s="11"/>
      <c r="G120" s="11"/>
      <c r="H120" s="11"/>
      <c r="I120" s="11"/>
      <c r="J120" s="11"/>
      <c r="K120" s="11"/>
      <c r="L120" s="11"/>
      <c r="M120" s="11"/>
    </row>
    <row r="121" spans="1:13" ht="80.099999999999994" customHeight="1" x14ac:dyDescent="0.2">
      <c r="A121" s="23" t="s">
        <v>454</v>
      </c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5"/>
    </row>
    <row r="122" spans="1:13" ht="20.100000000000001" customHeight="1" x14ac:dyDescent="0.2">
      <c r="A122" s="28" t="s">
        <v>25</v>
      </c>
      <c r="B122" s="24"/>
      <c r="C122" s="24"/>
      <c r="D122" s="24"/>
      <c r="E122" s="24"/>
      <c r="F122" s="24"/>
      <c r="G122" s="24"/>
      <c r="H122" s="24"/>
      <c r="I122" s="24"/>
      <c r="J122" s="24"/>
      <c r="K122" s="25"/>
      <c r="L122" s="13"/>
      <c r="M122" s="13"/>
    </row>
    <row r="123" spans="1:13" ht="128.1" customHeight="1" x14ac:dyDescent="0.2">
      <c r="A123" s="12" t="str">
        <f>$C$4&amp;"-"&amp;TEXT(COUNTA($D$12:D123),"00")</f>
        <v>TC-101</v>
      </c>
      <c r="B123" s="18" t="s">
        <v>26</v>
      </c>
      <c r="C123" s="6" t="s">
        <v>455</v>
      </c>
      <c r="D123" s="6" t="s">
        <v>456</v>
      </c>
      <c r="E123" s="6" t="s">
        <v>457</v>
      </c>
      <c r="F123" s="13"/>
      <c r="G123" s="14" t="s">
        <v>30</v>
      </c>
      <c r="H123" s="13"/>
      <c r="I123" s="13"/>
      <c r="J123" s="13"/>
      <c r="K123" s="13"/>
      <c r="L123" s="13"/>
      <c r="M123" s="13" t="s">
        <v>458</v>
      </c>
    </row>
    <row r="124" spans="1:13" ht="96" customHeight="1" x14ac:dyDescent="0.2">
      <c r="A124" s="12" t="str">
        <f>$C$4&amp;"-"&amp;TEXT(COUNTA($D$12:D124),"00")</f>
        <v>TC-102</v>
      </c>
      <c r="B124" s="19"/>
      <c r="C124" s="6" t="s">
        <v>32</v>
      </c>
      <c r="D124" s="6" t="s">
        <v>33</v>
      </c>
      <c r="E124" s="6" t="s">
        <v>34</v>
      </c>
      <c r="F124" s="13"/>
      <c r="G124" s="14" t="s">
        <v>30</v>
      </c>
      <c r="H124" s="13"/>
      <c r="I124" s="13"/>
      <c r="J124" s="13"/>
      <c r="K124" s="13"/>
      <c r="L124" s="13"/>
      <c r="M124" s="13"/>
    </row>
    <row r="125" spans="1:13" ht="32.1" customHeight="1" x14ac:dyDescent="0.2">
      <c r="A125" s="12" t="str">
        <f>$C$4&amp;"-"&amp;TEXT(COUNTA($D$12:D125),"00")</f>
        <v>TC-103</v>
      </c>
      <c r="B125" s="19"/>
      <c r="C125" s="6" t="s">
        <v>459</v>
      </c>
      <c r="D125" s="6" t="s">
        <v>460</v>
      </c>
      <c r="E125" s="6" t="s">
        <v>461</v>
      </c>
      <c r="F125" s="13"/>
      <c r="G125" s="14" t="s">
        <v>30</v>
      </c>
      <c r="H125" s="13"/>
      <c r="I125" s="13"/>
      <c r="J125" s="13"/>
      <c r="K125" s="13"/>
      <c r="L125" s="13"/>
      <c r="M125" s="13"/>
    </row>
    <row r="126" spans="1:13" ht="32.1" customHeight="1" x14ac:dyDescent="0.2">
      <c r="A126" s="12" t="str">
        <f>$C$4&amp;"-"&amp;TEXT(COUNTA($D$12:D126),"00")</f>
        <v>TC-104</v>
      </c>
      <c r="B126" s="19"/>
      <c r="C126" s="6" t="s">
        <v>462</v>
      </c>
      <c r="D126" s="6" t="s">
        <v>463</v>
      </c>
      <c r="E126" s="6" t="s">
        <v>464</v>
      </c>
      <c r="F126" s="13"/>
      <c r="G126" s="14" t="s">
        <v>30</v>
      </c>
      <c r="H126" s="13"/>
      <c r="I126" s="13"/>
      <c r="J126" s="13"/>
      <c r="K126" s="13"/>
      <c r="L126" s="13"/>
      <c r="M126" s="13"/>
    </row>
    <row r="127" spans="1:13" ht="32.1" customHeight="1" x14ac:dyDescent="0.2">
      <c r="A127" s="12" t="str">
        <f>$C$4&amp;"-"&amp;TEXT(COUNTA($D$12:D127),"00")</f>
        <v>TC-105</v>
      </c>
      <c r="B127" s="19"/>
      <c r="C127" s="6" t="s">
        <v>41</v>
      </c>
      <c r="D127" s="6" t="s">
        <v>465</v>
      </c>
      <c r="E127" s="6" t="s">
        <v>466</v>
      </c>
      <c r="F127" s="13"/>
      <c r="G127" s="14" t="s">
        <v>30</v>
      </c>
      <c r="H127" s="13"/>
      <c r="I127" s="13"/>
      <c r="J127" s="13"/>
      <c r="K127" s="13"/>
      <c r="L127" s="13"/>
      <c r="M127" s="13"/>
    </row>
    <row r="128" spans="1:13" ht="32.1" customHeight="1" x14ac:dyDescent="0.2">
      <c r="A128" s="12" t="str">
        <f>$C$4&amp;"-"&amp;TEXT(COUNTA($D$12:D128),"00")</f>
        <v>TC-106</v>
      </c>
      <c r="B128" s="19"/>
      <c r="C128" s="6" t="s">
        <v>467</v>
      </c>
      <c r="D128" s="6" t="s">
        <v>468</v>
      </c>
      <c r="E128" s="6" t="s">
        <v>469</v>
      </c>
      <c r="F128" s="13"/>
      <c r="G128" s="14" t="s">
        <v>30</v>
      </c>
      <c r="H128" s="13"/>
      <c r="I128" s="13"/>
      <c r="J128" s="13"/>
      <c r="K128" s="13"/>
      <c r="L128" s="13"/>
      <c r="M128" s="13" t="s">
        <v>470</v>
      </c>
    </row>
    <row r="129" spans="1:13" ht="63.95" customHeight="1" x14ac:dyDescent="0.2">
      <c r="A129" s="12" t="str">
        <f>$C$4&amp;"-"&amp;TEXT(COUNTA($D$12:D129),"00")</f>
        <v>TC-107</v>
      </c>
      <c r="B129" s="19"/>
      <c r="C129" s="6" t="s">
        <v>471</v>
      </c>
      <c r="D129" s="6" t="s">
        <v>472</v>
      </c>
      <c r="E129" s="6" t="s">
        <v>473</v>
      </c>
      <c r="F129" s="13"/>
      <c r="G129" s="14" t="s">
        <v>30</v>
      </c>
      <c r="H129" s="13"/>
      <c r="I129" s="13"/>
      <c r="J129" s="13"/>
      <c r="K129" s="13"/>
      <c r="L129" s="13"/>
      <c r="M129" s="13" t="s">
        <v>474</v>
      </c>
    </row>
    <row r="130" spans="1:13" ht="96" customHeight="1" x14ac:dyDescent="0.2">
      <c r="A130" s="12" t="str">
        <f>$C$4&amp;"-"&amp;TEXT(COUNTA($D$12:D130),"00")</f>
        <v>TC-108</v>
      </c>
      <c r="B130" s="19"/>
      <c r="C130" s="6" t="s">
        <v>475</v>
      </c>
      <c r="D130" s="6" t="s">
        <v>476</v>
      </c>
      <c r="E130" s="6" t="s">
        <v>477</v>
      </c>
      <c r="F130" s="13"/>
      <c r="G130" s="14" t="s">
        <v>30</v>
      </c>
      <c r="H130" s="13"/>
      <c r="I130" s="13"/>
      <c r="J130" s="13"/>
      <c r="K130" s="13"/>
      <c r="L130" s="13"/>
      <c r="M130" s="13" t="s">
        <v>478</v>
      </c>
    </row>
    <row r="131" spans="1:13" ht="32.1" customHeight="1" x14ac:dyDescent="0.2">
      <c r="A131" s="12" t="str">
        <f>$C$4&amp;"-"&amp;TEXT(COUNTA($D$12:D131),"00")</f>
        <v>TC-109</v>
      </c>
      <c r="B131" s="20"/>
      <c r="C131" s="6" t="s">
        <v>479</v>
      </c>
      <c r="D131" s="6" t="s">
        <v>480</v>
      </c>
      <c r="E131" s="6" t="s">
        <v>481</v>
      </c>
      <c r="F131" s="13"/>
      <c r="G131" s="14" t="s">
        <v>30</v>
      </c>
      <c r="H131" s="13"/>
      <c r="I131" s="13"/>
      <c r="J131" s="13"/>
      <c r="K131" s="13"/>
      <c r="L131" s="13"/>
      <c r="M131" s="13" t="s">
        <v>482</v>
      </c>
    </row>
    <row r="132" spans="1:13" ht="20.100000000000001" customHeight="1" x14ac:dyDescent="0.2">
      <c r="A132" s="28" t="s">
        <v>483</v>
      </c>
      <c r="B132" s="24"/>
      <c r="C132" s="24"/>
      <c r="D132" s="24"/>
      <c r="E132" s="24"/>
      <c r="F132" s="24"/>
      <c r="G132" s="24"/>
      <c r="H132" s="24"/>
      <c r="I132" s="24"/>
      <c r="J132" s="24"/>
      <c r="K132" s="25"/>
      <c r="L132" s="13"/>
      <c r="M132" s="13"/>
    </row>
    <row r="133" spans="1:13" ht="32.1" customHeight="1" x14ac:dyDescent="0.2">
      <c r="A133" s="12" t="str">
        <f>$C$4&amp;"-"&amp;TEXT(COUNTA($D$12:D133),"00")</f>
        <v>TC-110</v>
      </c>
      <c r="B133" s="18" t="s">
        <v>484</v>
      </c>
      <c r="C133" s="6" t="s">
        <v>485</v>
      </c>
      <c r="D133" s="6" t="s">
        <v>486</v>
      </c>
      <c r="E133" s="6" t="s">
        <v>487</v>
      </c>
      <c r="F133" s="13"/>
      <c r="G133" s="14" t="s">
        <v>30</v>
      </c>
      <c r="H133" s="13"/>
      <c r="I133" s="13"/>
      <c r="J133" s="13"/>
      <c r="K133" s="13"/>
      <c r="L133" s="13"/>
      <c r="M133" s="13" t="s">
        <v>488</v>
      </c>
    </row>
    <row r="134" spans="1:13" ht="48" customHeight="1" x14ac:dyDescent="0.2">
      <c r="A134" s="12" t="str">
        <f>$C$4&amp;"-"&amp;TEXT(COUNTA($D$12:D134),"00")</f>
        <v>TC-111</v>
      </c>
      <c r="B134" s="19"/>
      <c r="C134" s="6" t="s">
        <v>489</v>
      </c>
      <c r="D134" s="6" t="s">
        <v>490</v>
      </c>
      <c r="E134" s="6" t="s">
        <v>491</v>
      </c>
      <c r="F134" s="13"/>
      <c r="G134" s="14" t="s">
        <v>30</v>
      </c>
      <c r="H134" s="13"/>
      <c r="I134" s="13"/>
      <c r="J134" s="13"/>
      <c r="K134" s="13"/>
      <c r="L134" s="13"/>
      <c r="M134" s="13" t="s">
        <v>488</v>
      </c>
    </row>
    <row r="135" spans="1:13" ht="48" customHeight="1" x14ac:dyDescent="0.2">
      <c r="A135" s="12" t="str">
        <f>$C$4&amp;"-"&amp;TEXT(COUNTA($D$12:D135),"00")</f>
        <v>TC-112</v>
      </c>
      <c r="B135" s="19"/>
      <c r="C135" s="6" t="s">
        <v>492</v>
      </c>
      <c r="D135" s="6" t="s">
        <v>493</v>
      </c>
      <c r="E135" s="6" t="s">
        <v>494</v>
      </c>
      <c r="F135" s="13" t="s">
        <v>495</v>
      </c>
      <c r="G135" s="14" t="s">
        <v>30</v>
      </c>
      <c r="H135" s="13"/>
      <c r="I135" s="13"/>
      <c r="J135" s="13"/>
      <c r="K135" s="13"/>
      <c r="L135" s="13"/>
      <c r="M135" s="13" t="s">
        <v>496</v>
      </c>
    </row>
    <row r="136" spans="1:13" ht="32.1" customHeight="1" x14ac:dyDescent="0.2">
      <c r="A136" s="12" t="str">
        <f>$C$4&amp;"-"&amp;TEXT(COUNTA($D$12:D136),"00")</f>
        <v>TC-113</v>
      </c>
      <c r="B136" s="19"/>
      <c r="C136" s="6" t="s">
        <v>497</v>
      </c>
      <c r="D136" s="6" t="s">
        <v>498</v>
      </c>
      <c r="E136" s="6" t="s">
        <v>499</v>
      </c>
      <c r="F136" s="13" t="s">
        <v>500</v>
      </c>
      <c r="G136" s="14" t="s">
        <v>30</v>
      </c>
      <c r="H136" s="13"/>
      <c r="I136" s="13"/>
      <c r="J136" s="13"/>
      <c r="K136" s="13"/>
      <c r="L136" s="13"/>
      <c r="M136" s="13" t="s">
        <v>488</v>
      </c>
    </row>
    <row r="137" spans="1:13" ht="63.95" customHeight="1" x14ac:dyDescent="0.2">
      <c r="A137" s="12" t="str">
        <f>$C$4&amp;"-"&amp;TEXT(COUNTA($D$12:D137),"00")</f>
        <v>TC-114</v>
      </c>
      <c r="B137" s="19"/>
      <c r="C137" s="6" t="s">
        <v>501</v>
      </c>
      <c r="D137" s="6" t="s">
        <v>502</v>
      </c>
      <c r="E137" s="6" t="s">
        <v>503</v>
      </c>
      <c r="F137" s="13" t="s">
        <v>504</v>
      </c>
      <c r="G137" s="14" t="s">
        <v>30</v>
      </c>
      <c r="H137" s="13"/>
      <c r="I137" s="13"/>
      <c r="J137" s="13"/>
      <c r="K137" s="13"/>
      <c r="L137" s="13"/>
      <c r="M137" s="13" t="s">
        <v>505</v>
      </c>
    </row>
    <row r="138" spans="1:13" ht="63.95" customHeight="1" x14ac:dyDescent="0.2">
      <c r="A138" s="12" t="str">
        <f>$C$4&amp;"-"&amp;TEXT(COUNTA($D$12:D138),"00")</f>
        <v>TC-115</v>
      </c>
      <c r="B138" s="19"/>
      <c r="C138" s="6" t="s">
        <v>506</v>
      </c>
      <c r="D138" s="6" t="s">
        <v>507</v>
      </c>
      <c r="E138" s="6" t="s">
        <v>508</v>
      </c>
      <c r="F138" s="13" t="s">
        <v>509</v>
      </c>
      <c r="G138" s="14" t="s">
        <v>30</v>
      </c>
      <c r="H138" s="13"/>
      <c r="I138" s="13"/>
      <c r="J138" s="13"/>
      <c r="K138" s="13"/>
      <c r="L138" s="13"/>
      <c r="M138" s="13" t="s">
        <v>510</v>
      </c>
    </row>
    <row r="139" spans="1:13" ht="48" customHeight="1" x14ac:dyDescent="0.2">
      <c r="A139" s="12" t="str">
        <f>$C$4&amp;"-"&amp;TEXT(COUNTA($D$12:D139),"00")</f>
        <v>TC-116</v>
      </c>
      <c r="B139" s="19"/>
      <c r="C139" s="6" t="s">
        <v>511</v>
      </c>
      <c r="D139" s="6" t="s">
        <v>512</v>
      </c>
      <c r="E139" s="6" t="s">
        <v>513</v>
      </c>
      <c r="F139" s="13" t="s">
        <v>514</v>
      </c>
      <c r="G139" s="14" t="s">
        <v>30</v>
      </c>
      <c r="H139" s="13"/>
      <c r="I139" s="13"/>
      <c r="J139" s="13"/>
      <c r="K139" s="13"/>
      <c r="L139" s="13"/>
      <c r="M139" s="13" t="s">
        <v>515</v>
      </c>
    </row>
    <row r="140" spans="1:13" ht="48" customHeight="1" x14ac:dyDescent="0.2">
      <c r="A140" s="12" t="str">
        <f>$C$4&amp;"-"&amp;TEXT(COUNTA($D$12:D140),"00")</f>
        <v>TC-117</v>
      </c>
      <c r="B140" s="19"/>
      <c r="C140" s="6" t="s">
        <v>516</v>
      </c>
      <c r="D140" s="6" t="s">
        <v>517</v>
      </c>
      <c r="E140" s="6" t="s">
        <v>518</v>
      </c>
      <c r="F140" s="13" t="s">
        <v>519</v>
      </c>
      <c r="G140" s="14" t="s">
        <v>30</v>
      </c>
      <c r="H140" s="13"/>
      <c r="I140" s="13"/>
      <c r="J140" s="13"/>
      <c r="K140" s="13"/>
      <c r="L140" s="13"/>
      <c r="M140" s="13" t="s">
        <v>515</v>
      </c>
    </row>
    <row r="141" spans="1:13" ht="48" customHeight="1" x14ac:dyDescent="0.2">
      <c r="A141" s="12" t="str">
        <f>$C$4&amp;"-"&amp;TEXT(COUNTA($D$12:D141),"00")</f>
        <v>TC-118</v>
      </c>
      <c r="B141" s="19"/>
      <c r="C141" s="6" t="s">
        <v>520</v>
      </c>
      <c r="D141" s="6" t="s">
        <v>521</v>
      </c>
      <c r="E141" s="6" t="s">
        <v>522</v>
      </c>
      <c r="F141" s="13" t="s">
        <v>523</v>
      </c>
      <c r="G141" s="14" t="s">
        <v>30</v>
      </c>
      <c r="H141" s="13"/>
      <c r="I141" s="13"/>
      <c r="J141" s="13"/>
      <c r="K141" s="13"/>
      <c r="L141" s="13"/>
      <c r="M141" s="13" t="s">
        <v>515</v>
      </c>
    </row>
    <row r="142" spans="1:13" ht="48" customHeight="1" x14ac:dyDescent="0.2">
      <c r="A142" s="12" t="str">
        <f>$C$4&amp;"-"&amp;TEXT(COUNTA($D$12:D142),"00")</f>
        <v>TC-119</v>
      </c>
      <c r="B142" s="19"/>
      <c r="C142" s="6" t="s">
        <v>524</v>
      </c>
      <c r="D142" s="6" t="s">
        <v>525</v>
      </c>
      <c r="E142" s="6" t="s">
        <v>526</v>
      </c>
      <c r="F142" s="13" t="s">
        <v>527</v>
      </c>
      <c r="G142" s="14" t="s">
        <v>30</v>
      </c>
      <c r="H142" s="13"/>
      <c r="I142" s="13"/>
      <c r="J142" s="13"/>
      <c r="K142" s="13"/>
      <c r="L142" s="13"/>
      <c r="M142" s="13" t="s">
        <v>515</v>
      </c>
    </row>
    <row r="143" spans="1:13" ht="63.95" customHeight="1" x14ac:dyDescent="0.2">
      <c r="A143" s="12" t="str">
        <f>$C$4&amp;"-"&amp;TEXT(COUNTA($D$12:D143),"00")</f>
        <v>TC-120</v>
      </c>
      <c r="B143" s="19"/>
      <c r="C143" s="6" t="s">
        <v>528</v>
      </c>
      <c r="D143" s="6" t="s">
        <v>529</v>
      </c>
      <c r="E143" s="6" t="s">
        <v>530</v>
      </c>
      <c r="F143" s="13" t="s">
        <v>239</v>
      </c>
      <c r="G143" s="14" t="s">
        <v>30</v>
      </c>
      <c r="H143" s="13"/>
      <c r="I143" s="13"/>
      <c r="J143" s="13"/>
      <c r="K143" s="13"/>
      <c r="L143" s="13"/>
      <c r="M143" s="13" t="s">
        <v>531</v>
      </c>
    </row>
    <row r="144" spans="1:13" ht="48" customHeight="1" x14ac:dyDescent="0.2">
      <c r="A144" s="12" t="str">
        <f>$C$4&amp;"-"&amp;TEXT(COUNTA($D$12:D144),"00")</f>
        <v>TC-121</v>
      </c>
      <c r="B144" s="19"/>
      <c r="C144" s="6" t="s">
        <v>532</v>
      </c>
      <c r="D144" s="6" t="s">
        <v>533</v>
      </c>
      <c r="E144" s="6" t="s">
        <v>534</v>
      </c>
      <c r="F144" s="13"/>
      <c r="G144" s="14" t="s">
        <v>30</v>
      </c>
      <c r="H144" s="13"/>
      <c r="I144" s="13"/>
      <c r="J144" s="13"/>
      <c r="K144" s="13"/>
      <c r="L144" s="13"/>
      <c r="M144" s="13" t="s">
        <v>535</v>
      </c>
    </row>
    <row r="145" spans="1:13" ht="63.95" customHeight="1" x14ac:dyDescent="0.2">
      <c r="A145" s="12" t="str">
        <f>$C$4&amp;"-"&amp;TEXT(COUNTA($D$12:D145),"00")</f>
        <v>TC-122</v>
      </c>
      <c r="B145" s="19"/>
      <c r="C145" s="6" t="s">
        <v>536</v>
      </c>
      <c r="D145" s="6" t="s">
        <v>537</v>
      </c>
      <c r="E145" s="6" t="s">
        <v>538</v>
      </c>
      <c r="F145" s="13" t="s">
        <v>539</v>
      </c>
      <c r="G145" s="14" t="s">
        <v>30</v>
      </c>
      <c r="H145" s="13"/>
      <c r="I145" s="13"/>
      <c r="J145" s="13"/>
      <c r="K145" s="13"/>
      <c r="L145" s="13"/>
      <c r="M145" s="13" t="s">
        <v>535</v>
      </c>
    </row>
    <row r="146" spans="1:13" ht="48" customHeight="1" x14ac:dyDescent="0.2">
      <c r="A146" s="12" t="str">
        <f>$C$4&amp;"-"&amp;TEXT(COUNTA($D$12:D146),"00")</f>
        <v>TC-123</v>
      </c>
      <c r="B146" s="19"/>
      <c r="C146" s="6" t="s">
        <v>540</v>
      </c>
      <c r="D146" s="6" t="s">
        <v>541</v>
      </c>
      <c r="E146" s="6" t="s">
        <v>542</v>
      </c>
      <c r="F146" s="13"/>
      <c r="G146" s="14" t="s">
        <v>30</v>
      </c>
      <c r="H146" s="13"/>
      <c r="I146" s="13"/>
      <c r="J146" s="13"/>
      <c r="K146" s="13"/>
      <c r="L146" s="13"/>
      <c r="M146" s="13" t="s">
        <v>543</v>
      </c>
    </row>
    <row r="147" spans="1:13" ht="48" customHeight="1" x14ac:dyDescent="0.2">
      <c r="A147" s="12" t="str">
        <f>$C$4&amp;"-"&amp;TEXT(COUNTA($D$12:D147),"00")</f>
        <v>TC-124</v>
      </c>
      <c r="B147" s="19"/>
      <c r="C147" s="6" t="s">
        <v>544</v>
      </c>
      <c r="D147" s="6" t="s">
        <v>545</v>
      </c>
      <c r="E147" s="6" t="s">
        <v>546</v>
      </c>
      <c r="F147" s="13" t="s">
        <v>500</v>
      </c>
      <c r="G147" s="14" t="s">
        <v>30</v>
      </c>
      <c r="H147" s="13"/>
      <c r="I147" s="13"/>
      <c r="J147" s="13"/>
      <c r="K147" s="13"/>
      <c r="L147" s="13"/>
      <c r="M147" s="13" t="s">
        <v>547</v>
      </c>
    </row>
    <row r="148" spans="1:13" ht="32.1" customHeight="1" x14ac:dyDescent="0.2">
      <c r="A148" s="12" t="str">
        <f>$C$4&amp;"-"&amp;TEXT(COUNTA($D$12:D148),"00")</f>
        <v>TC-125</v>
      </c>
      <c r="B148" s="20"/>
      <c r="C148" s="6" t="s">
        <v>548</v>
      </c>
      <c r="D148" s="6" t="s">
        <v>549</v>
      </c>
      <c r="E148" s="6" t="s">
        <v>550</v>
      </c>
      <c r="F148" s="13"/>
      <c r="G148" s="14" t="s">
        <v>30</v>
      </c>
      <c r="H148" s="13"/>
      <c r="I148" s="13"/>
      <c r="J148" s="13"/>
      <c r="K148" s="13"/>
      <c r="L148" s="13"/>
      <c r="M148" s="13"/>
    </row>
    <row r="149" spans="1:13" ht="32.1" customHeight="1" x14ac:dyDescent="0.2">
      <c r="A149" s="12" t="str">
        <f>$C$4&amp;"-"&amp;TEXT(COUNTA($D$12:D149),"00")</f>
        <v>TC-126</v>
      </c>
      <c r="B149" s="18" t="s">
        <v>551</v>
      </c>
      <c r="C149" s="6" t="s">
        <v>485</v>
      </c>
      <c r="D149" s="6" t="s">
        <v>486</v>
      </c>
      <c r="E149" s="6" t="s">
        <v>552</v>
      </c>
      <c r="F149" s="13"/>
      <c r="G149" s="14" t="s">
        <v>30</v>
      </c>
      <c r="H149" s="13"/>
      <c r="I149" s="13"/>
      <c r="J149" s="13"/>
      <c r="K149" s="13"/>
      <c r="L149" s="13"/>
      <c r="M149" s="13" t="s">
        <v>553</v>
      </c>
    </row>
    <row r="150" spans="1:13" ht="63.95" customHeight="1" x14ac:dyDescent="0.2">
      <c r="A150" s="12" t="str">
        <f>$C$4&amp;"-"&amp;TEXT(COUNTA($D$12:D150),"00")</f>
        <v>TC-127</v>
      </c>
      <c r="B150" s="19"/>
      <c r="C150" s="6" t="s">
        <v>554</v>
      </c>
      <c r="D150" s="6" t="s">
        <v>555</v>
      </c>
      <c r="E150" s="6" t="s">
        <v>556</v>
      </c>
      <c r="F150" s="13"/>
      <c r="G150" s="14" t="s">
        <v>30</v>
      </c>
      <c r="H150" s="13"/>
      <c r="I150" s="13"/>
      <c r="J150" s="13"/>
      <c r="K150" s="13"/>
      <c r="L150" s="13"/>
      <c r="M150" s="13" t="s">
        <v>557</v>
      </c>
    </row>
    <row r="151" spans="1:13" ht="48" customHeight="1" x14ac:dyDescent="0.2">
      <c r="A151" s="12" t="str">
        <f>$C$4&amp;"-"&amp;TEXT(COUNTA($D$12:D151),"00")</f>
        <v>TC-128</v>
      </c>
      <c r="B151" s="19"/>
      <c r="C151" s="6" t="s">
        <v>558</v>
      </c>
      <c r="D151" s="6" t="s">
        <v>559</v>
      </c>
      <c r="E151" s="6" t="s">
        <v>560</v>
      </c>
      <c r="F151" s="13" t="s">
        <v>561</v>
      </c>
      <c r="G151" s="14" t="s">
        <v>30</v>
      </c>
      <c r="H151" s="13"/>
      <c r="I151" s="13"/>
      <c r="J151" s="13"/>
      <c r="K151" s="13"/>
      <c r="L151" s="13"/>
      <c r="M151" s="13" t="s">
        <v>562</v>
      </c>
    </row>
    <row r="152" spans="1:13" ht="48" customHeight="1" x14ac:dyDescent="0.2">
      <c r="A152" s="12" t="str">
        <f>$C$4&amp;"-"&amp;TEXT(COUNTA($D$12:D152),"00")</f>
        <v>TC-129</v>
      </c>
      <c r="B152" s="19"/>
      <c r="C152" s="6" t="s">
        <v>563</v>
      </c>
      <c r="D152" s="6" t="s">
        <v>564</v>
      </c>
      <c r="E152" s="6" t="s">
        <v>560</v>
      </c>
      <c r="F152" s="13" t="s">
        <v>565</v>
      </c>
      <c r="G152" s="14" t="s">
        <v>30</v>
      </c>
      <c r="H152" s="13"/>
      <c r="I152" s="13"/>
      <c r="J152" s="13"/>
      <c r="K152" s="13"/>
      <c r="L152" s="13"/>
      <c r="M152" s="13" t="s">
        <v>562</v>
      </c>
    </row>
    <row r="153" spans="1:13" ht="48" customHeight="1" x14ac:dyDescent="0.2">
      <c r="A153" s="12" t="str">
        <f>$C$4&amp;"-"&amp;TEXT(COUNTA($D$12:D153),"00")</f>
        <v>TC-130</v>
      </c>
      <c r="B153" s="19"/>
      <c r="C153" s="6" t="s">
        <v>566</v>
      </c>
      <c r="D153" s="6" t="s">
        <v>567</v>
      </c>
      <c r="E153" s="6" t="s">
        <v>568</v>
      </c>
      <c r="F153" s="13" t="s">
        <v>569</v>
      </c>
      <c r="G153" s="14" t="s">
        <v>30</v>
      </c>
      <c r="H153" s="13"/>
      <c r="I153" s="13"/>
      <c r="J153" s="13"/>
      <c r="K153" s="13"/>
      <c r="L153" s="13"/>
      <c r="M153" s="13" t="s">
        <v>562</v>
      </c>
    </row>
    <row r="154" spans="1:13" ht="32.1" customHeight="1" x14ac:dyDescent="0.2">
      <c r="A154" s="12" t="str">
        <f>$C$4&amp;"-"&amp;TEXT(COUNTA($D$12:D154),"00")</f>
        <v>TC-131</v>
      </c>
      <c r="B154" s="19"/>
      <c r="C154" s="6" t="s">
        <v>570</v>
      </c>
      <c r="D154" s="6" t="s">
        <v>571</v>
      </c>
      <c r="E154" s="6" t="s">
        <v>572</v>
      </c>
      <c r="F154" s="13" t="s">
        <v>573</v>
      </c>
      <c r="G154" s="14" t="s">
        <v>30</v>
      </c>
      <c r="H154" s="13"/>
      <c r="I154" s="13"/>
      <c r="J154" s="13"/>
      <c r="K154" s="13"/>
      <c r="L154" s="13"/>
      <c r="M154" s="13" t="s">
        <v>553</v>
      </c>
    </row>
    <row r="155" spans="1:13" ht="32.1" customHeight="1" x14ac:dyDescent="0.2">
      <c r="A155" s="12" t="str">
        <f>$C$4&amp;"-"&amp;TEXT(COUNTA($D$12:D155),"00")</f>
        <v>TC-132</v>
      </c>
      <c r="B155" s="19"/>
      <c r="C155" s="6" t="s">
        <v>574</v>
      </c>
      <c r="D155" s="6" t="s">
        <v>575</v>
      </c>
      <c r="E155" s="6" t="s">
        <v>576</v>
      </c>
      <c r="F155" s="13" t="s">
        <v>577</v>
      </c>
      <c r="G155" s="14" t="s">
        <v>30</v>
      </c>
      <c r="H155" s="13"/>
      <c r="I155" s="13"/>
      <c r="J155" s="13"/>
      <c r="K155" s="13"/>
      <c r="L155" s="13"/>
      <c r="M155" s="13" t="s">
        <v>553</v>
      </c>
    </row>
    <row r="156" spans="1:13" ht="32.1" customHeight="1" x14ac:dyDescent="0.2">
      <c r="A156" s="12" t="str">
        <f>$C$4&amp;"-"&amp;TEXT(COUNTA($D$12:D156),"00")</f>
        <v>TC-133</v>
      </c>
      <c r="B156" s="20"/>
      <c r="C156" s="6" t="s">
        <v>578</v>
      </c>
      <c r="D156" s="6" t="s">
        <v>579</v>
      </c>
      <c r="E156" s="6" t="s">
        <v>580</v>
      </c>
      <c r="F156" s="13" t="s">
        <v>581</v>
      </c>
      <c r="G156" s="14" t="s">
        <v>30</v>
      </c>
      <c r="H156" s="13"/>
      <c r="I156" s="13"/>
      <c r="J156" s="13"/>
      <c r="K156" s="13"/>
      <c r="L156" s="13"/>
      <c r="M156" s="13" t="s">
        <v>582</v>
      </c>
    </row>
    <row r="157" spans="1:13" ht="32.1" customHeight="1" x14ac:dyDescent="0.2">
      <c r="A157" s="12" t="str">
        <f>$C$4&amp;"-"&amp;TEXT(COUNTA($D$12:D157),"00")</f>
        <v>TC-134</v>
      </c>
      <c r="B157" s="18" t="s">
        <v>583</v>
      </c>
      <c r="C157" s="6" t="s">
        <v>489</v>
      </c>
      <c r="D157" s="6" t="s">
        <v>584</v>
      </c>
      <c r="E157" s="6" t="s">
        <v>494</v>
      </c>
      <c r="F157" s="13"/>
      <c r="G157" s="14" t="s">
        <v>30</v>
      </c>
      <c r="H157" s="13"/>
      <c r="I157" s="13"/>
      <c r="J157" s="13"/>
      <c r="K157" s="13"/>
      <c r="L157" s="13"/>
      <c r="M157" s="13" t="s">
        <v>585</v>
      </c>
    </row>
    <row r="158" spans="1:13" ht="80.099999999999994" customHeight="1" x14ac:dyDescent="0.2">
      <c r="A158" s="12" t="str">
        <f>$C$4&amp;"-"&amp;TEXT(COUNTA($D$12:D158),"00")</f>
        <v>TC-135</v>
      </c>
      <c r="B158" s="19"/>
      <c r="C158" s="6" t="s">
        <v>586</v>
      </c>
      <c r="D158" s="6" t="s">
        <v>587</v>
      </c>
      <c r="E158" s="6" t="s">
        <v>588</v>
      </c>
      <c r="F158" s="13" t="s">
        <v>589</v>
      </c>
      <c r="G158" s="14" t="s">
        <v>30</v>
      </c>
      <c r="H158" s="13"/>
      <c r="I158" s="13"/>
      <c r="J158" s="13"/>
      <c r="K158" s="13"/>
      <c r="L158" s="13"/>
      <c r="M158" s="13" t="s">
        <v>590</v>
      </c>
    </row>
    <row r="159" spans="1:13" ht="48" customHeight="1" x14ac:dyDescent="0.2">
      <c r="A159" s="12" t="str">
        <f>$C$4&amp;"-"&amp;TEXT(COUNTA($D$12:D159),"00")</f>
        <v>TC-136</v>
      </c>
      <c r="B159" s="19"/>
      <c r="C159" s="6" t="s">
        <v>591</v>
      </c>
      <c r="D159" s="6" t="s">
        <v>592</v>
      </c>
      <c r="E159" s="6" t="s">
        <v>593</v>
      </c>
      <c r="F159" s="13" t="s">
        <v>594</v>
      </c>
      <c r="G159" s="14" t="s">
        <v>30</v>
      </c>
      <c r="H159" s="13"/>
      <c r="I159" s="13"/>
      <c r="J159" s="13"/>
      <c r="K159" s="13"/>
      <c r="L159" s="13"/>
      <c r="M159" s="13" t="s">
        <v>595</v>
      </c>
    </row>
    <row r="160" spans="1:13" ht="48" customHeight="1" x14ac:dyDescent="0.2">
      <c r="A160" s="12" t="str">
        <f>$C$4&amp;"-"&amp;TEXT(COUNTA($D$12:D160),"00")</f>
        <v>TC-137</v>
      </c>
      <c r="B160" s="19"/>
      <c r="C160" s="6" t="s">
        <v>596</v>
      </c>
      <c r="D160" s="6" t="s">
        <v>597</v>
      </c>
      <c r="E160" s="6" t="s">
        <v>598</v>
      </c>
      <c r="F160" s="13" t="s">
        <v>599</v>
      </c>
      <c r="G160" s="14" t="s">
        <v>30</v>
      </c>
      <c r="H160" s="13"/>
      <c r="I160" s="13"/>
      <c r="J160" s="13"/>
      <c r="K160" s="13"/>
      <c r="L160" s="13"/>
      <c r="M160" s="13" t="s">
        <v>600</v>
      </c>
    </row>
    <row r="161" spans="1:13" ht="48" customHeight="1" x14ac:dyDescent="0.2">
      <c r="A161" s="12" t="str">
        <f>$C$4&amp;"-"&amp;TEXT(COUNTA($D$12:D161),"00")</f>
        <v>TC-138</v>
      </c>
      <c r="B161" s="19"/>
      <c r="C161" s="6" t="s">
        <v>601</v>
      </c>
      <c r="D161" s="6" t="s">
        <v>602</v>
      </c>
      <c r="E161" s="6" t="s">
        <v>603</v>
      </c>
      <c r="F161" s="13" t="s">
        <v>604</v>
      </c>
      <c r="G161" s="14" t="s">
        <v>30</v>
      </c>
      <c r="H161" s="13"/>
      <c r="I161" s="13"/>
      <c r="J161" s="13"/>
      <c r="K161" s="13"/>
      <c r="L161" s="13"/>
      <c r="M161" s="13" t="s">
        <v>605</v>
      </c>
    </row>
    <row r="162" spans="1:13" ht="48" customHeight="1" x14ac:dyDescent="0.2">
      <c r="A162" s="12" t="str">
        <f>$C$4&amp;"-"&amp;TEXT(COUNTA($D$12:D162),"00")</f>
        <v>TC-139</v>
      </c>
      <c r="B162" s="19"/>
      <c r="C162" s="6" t="s">
        <v>606</v>
      </c>
      <c r="D162" s="6" t="s">
        <v>607</v>
      </c>
      <c r="E162" s="6" t="s">
        <v>608</v>
      </c>
      <c r="F162" s="13" t="s">
        <v>609</v>
      </c>
      <c r="G162" s="14" t="s">
        <v>30</v>
      </c>
      <c r="H162" s="13"/>
      <c r="I162" s="13"/>
      <c r="J162" s="13"/>
      <c r="K162" s="13"/>
      <c r="L162" s="13"/>
      <c r="M162" s="13" t="s">
        <v>600</v>
      </c>
    </row>
    <row r="163" spans="1:13" ht="80.099999999999994" customHeight="1" x14ac:dyDescent="0.2">
      <c r="A163" s="12" t="str">
        <f>$C$4&amp;"-"&amp;TEXT(COUNTA($D$12:D163),"00")</f>
        <v>TC-140</v>
      </c>
      <c r="B163" s="19"/>
      <c r="C163" s="6" t="s">
        <v>610</v>
      </c>
      <c r="D163" s="6" t="s">
        <v>611</v>
      </c>
      <c r="E163" s="6" t="s">
        <v>612</v>
      </c>
      <c r="F163" s="13" t="s">
        <v>613</v>
      </c>
      <c r="G163" s="14" t="s">
        <v>30</v>
      </c>
      <c r="H163" s="13"/>
      <c r="I163" s="13"/>
      <c r="J163" s="13"/>
      <c r="K163" s="13"/>
      <c r="L163" s="13"/>
      <c r="M163" s="13" t="s">
        <v>614</v>
      </c>
    </row>
    <row r="164" spans="1:13" ht="48" customHeight="1" x14ac:dyDescent="0.2">
      <c r="A164" s="12" t="str">
        <f>$C$4&amp;"-"&amp;TEXT(COUNTA($D$12:D164),"00")</f>
        <v>TC-141</v>
      </c>
      <c r="B164" s="19"/>
      <c r="C164" s="6" t="s">
        <v>615</v>
      </c>
      <c r="D164" s="6" t="s">
        <v>616</v>
      </c>
      <c r="E164" s="6" t="s">
        <v>617</v>
      </c>
      <c r="F164" s="13" t="s">
        <v>618</v>
      </c>
      <c r="G164" s="14" t="s">
        <v>30</v>
      </c>
      <c r="H164" s="13"/>
      <c r="I164" s="13"/>
      <c r="J164" s="13"/>
      <c r="K164" s="13"/>
      <c r="L164" s="13"/>
      <c r="M164" s="13" t="s">
        <v>619</v>
      </c>
    </row>
    <row r="165" spans="1:13" ht="48" customHeight="1" x14ac:dyDescent="0.2">
      <c r="A165" s="12" t="str">
        <f>$C$4&amp;"-"&amp;TEXT(COUNTA($D$12:D165),"00")</f>
        <v>TC-142</v>
      </c>
      <c r="B165" s="19"/>
      <c r="C165" s="6" t="s">
        <v>620</v>
      </c>
      <c r="D165" s="6" t="s">
        <v>621</v>
      </c>
      <c r="E165" s="6" t="s">
        <v>622</v>
      </c>
      <c r="F165" s="13" t="s">
        <v>623</v>
      </c>
      <c r="G165" s="14" t="s">
        <v>30</v>
      </c>
      <c r="H165" s="13"/>
      <c r="I165" s="13"/>
      <c r="J165" s="13"/>
      <c r="K165" s="13"/>
      <c r="L165" s="13"/>
      <c r="M165" s="13" t="s">
        <v>624</v>
      </c>
    </row>
    <row r="166" spans="1:13" ht="48" customHeight="1" x14ac:dyDescent="0.2">
      <c r="A166" s="12" t="str">
        <f>$C$4&amp;"-"&amp;TEXT(COUNTA($D$12:D166),"00")</f>
        <v>TC-143</v>
      </c>
      <c r="B166" s="19"/>
      <c r="C166" s="6" t="s">
        <v>625</v>
      </c>
      <c r="D166" s="6" t="s">
        <v>626</v>
      </c>
      <c r="E166" s="6" t="s">
        <v>627</v>
      </c>
      <c r="F166" s="13" t="s">
        <v>628</v>
      </c>
      <c r="G166" s="14" t="s">
        <v>30</v>
      </c>
      <c r="H166" s="13"/>
      <c r="I166" s="13"/>
      <c r="J166" s="13"/>
      <c r="K166" s="13"/>
      <c r="L166" s="13"/>
      <c r="M166" s="13" t="s">
        <v>624</v>
      </c>
    </row>
    <row r="167" spans="1:13" ht="48" customHeight="1" x14ac:dyDescent="0.2">
      <c r="A167" s="12" t="str">
        <f>$C$4&amp;"-"&amp;TEXT(COUNTA($D$12:D167),"00")</f>
        <v>TC-144</v>
      </c>
      <c r="B167" s="19"/>
      <c r="C167" s="6" t="s">
        <v>629</v>
      </c>
      <c r="D167" s="6" t="s">
        <v>630</v>
      </c>
      <c r="E167" s="6" t="s">
        <v>631</v>
      </c>
      <c r="F167" s="13" t="s">
        <v>632</v>
      </c>
      <c r="G167" s="14" t="s">
        <v>30</v>
      </c>
      <c r="H167" s="13"/>
      <c r="I167" s="13"/>
      <c r="J167" s="13"/>
      <c r="K167" s="13"/>
      <c r="L167" s="13"/>
      <c r="M167" s="13" t="s">
        <v>624</v>
      </c>
    </row>
    <row r="168" spans="1:13" ht="48" customHeight="1" x14ac:dyDescent="0.2">
      <c r="A168" s="12" t="str">
        <f>$C$4&amp;"-"&amp;TEXT(COUNTA($D$12:D168),"00")</f>
        <v>TC-145</v>
      </c>
      <c r="B168" s="19"/>
      <c r="C168" s="6" t="s">
        <v>633</v>
      </c>
      <c r="D168" s="6" t="s">
        <v>634</v>
      </c>
      <c r="E168" s="6" t="s">
        <v>635</v>
      </c>
      <c r="F168" s="13" t="s">
        <v>636</v>
      </c>
      <c r="G168" s="14" t="s">
        <v>30</v>
      </c>
      <c r="H168" s="13"/>
      <c r="I168" s="13"/>
      <c r="J168" s="13"/>
      <c r="K168" s="13"/>
      <c r="L168" s="13"/>
      <c r="M168" s="13" t="s">
        <v>637</v>
      </c>
    </row>
    <row r="169" spans="1:13" ht="48" customHeight="1" x14ac:dyDescent="0.2">
      <c r="A169" s="12" t="str">
        <f>$C$4&amp;"-"&amp;TEXT(COUNTA($D$12:D169),"00")</f>
        <v>TC-146</v>
      </c>
      <c r="B169" s="19"/>
      <c r="C169" s="6" t="s">
        <v>638</v>
      </c>
      <c r="D169" s="6" t="s">
        <v>639</v>
      </c>
      <c r="E169" s="6" t="s">
        <v>640</v>
      </c>
      <c r="F169" s="13"/>
      <c r="G169" s="14" t="s">
        <v>30</v>
      </c>
      <c r="H169" s="13"/>
      <c r="I169" s="13"/>
      <c r="J169" s="13"/>
      <c r="K169" s="13"/>
      <c r="L169" s="13"/>
      <c r="M169" s="13" t="s">
        <v>641</v>
      </c>
    </row>
    <row r="170" spans="1:13" ht="48" customHeight="1" x14ac:dyDescent="0.2">
      <c r="A170" s="12" t="str">
        <f>$C$4&amp;"-"&amp;TEXT(COUNTA($D$12:D170),"00")</f>
        <v>TC-147</v>
      </c>
      <c r="B170" s="19"/>
      <c r="C170" s="6" t="s">
        <v>642</v>
      </c>
      <c r="D170" s="6" t="s">
        <v>643</v>
      </c>
      <c r="E170" s="6" t="s">
        <v>644</v>
      </c>
      <c r="F170" s="13"/>
      <c r="G170" s="14" t="s">
        <v>30</v>
      </c>
      <c r="H170" s="13"/>
      <c r="I170" s="13"/>
      <c r="J170" s="13"/>
      <c r="K170" s="13"/>
      <c r="L170" s="13"/>
      <c r="M170" s="13" t="s">
        <v>641</v>
      </c>
    </row>
    <row r="171" spans="1:13" ht="48" customHeight="1" x14ac:dyDescent="0.2">
      <c r="A171" s="12" t="str">
        <f>$C$4&amp;"-"&amp;TEXT(COUNTA($D$12:D171),"00")</f>
        <v>TC-148</v>
      </c>
      <c r="B171" s="20"/>
      <c r="C171" s="6" t="s">
        <v>645</v>
      </c>
      <c r="D171" s="6" t="s">
        <v>646</v>
      </c>
      <c r="E171" s="6" t="s">
        <v>640</v>
      </c>
      <c r="F171" s="13"/>
      <c r="G171" s="14" t="s">
        <v>30</v>
      </c>
      <c r="H171" s="13"/>
      <c r="I171" s="13"/>
      <c r="J171" s="13"/>
      <c r="K171" s="13"/>
      <c r="L171" s="13"/>
      <c r="M171" s="13" t="s">
        <v>641</v>
      </c>
    </row>
    <row r="172" spans="1:13" ht="32.1" customHeight="1" x14ac:dyDescent="0.2">
      <c r="A172" s="12" t="str">
        <f>$C$4&amp;"-"&amp;TEXT(COUNTA($D$12:D172),"00")</f>
        <v>TC-149</v>
      </c>
      <c r="B172" s="18" t="s">
        <v>647</v>
      </c>
      <c r="C172" s="6" t="s">
        <v>648</v>
      </c>
      <c r="D172" s="6" t="s">
        <v>649</v>
      </c>
      <c r="E172" s="6" t="s">
        <v>650</v>
      </c>
      <c r="F172" s="13"/>
      <c r="G172" s="14" t="s">
        <v>30</v>
      </c>
      <c r="H172" s="13"/>
      <c r="I172" s="13"/>
      <c r="J172" s="13"/>
      <c r="K172" s="13"/>
      <c r="L172" s="13"/>
      <c r="M172" s="13" t="s">
        <v>651</v>
      </c>
    </row>
    <row r="173" spans="1:13" ht="32.1" customHeight="1" x14ac:dyDescent="0.2">
      <c r="A173" s="12" t="str">
        <f>$C$4&amp;"-"&amp;TEXT(COUNTA($D$12:D173),"00")</f>
        <v>TC-150</v>
      </c>
      <c r="B173" s="19"/>
      <c r="C173" s="6" t="s">
        <v>652</v>
      </c>
      <c r="D173" s="6" t="s">
        <v>653</v>
      </c>
      <c r="E173" s="6" t="s">
        <v>654</v>
      </c>
      <c r="F173" s="13"/>
      <c r="G173" s="14" t="s">
        <v>30</v>
      </c>
      <c r="H173" s="13"/>
      <c r="I173" s="13"/>
      <c r="J173" s="13"/>
      <c r="K173" s="13"/>
      <c r="L173" s="13"/>
      <c r="M173" s="13" t="s">
        <v>651</v>
      </c>
    </row>
    <row r="174" spans="1:13" ht="48" customHeight="1" x14ac:dyDescent="0.2">
      <c r="A174" s="12" t="str">
        <f>$C$4&amp;"-"&amp;TEXT(COUNTA($D$12:D174),"00")</f>
        <v>TC-151</v>
      </c>
      <c r="B174" s="20"/>
      <c r="C174" s="6" t="s">
        <v>655</v>
      </c>
      <c r="D174" s="6" t="s">
        <v>656</v>
      </c>
      <c r="E174" s="6" t="s">
        <v>657</v>
      </c>
      <c r="F174" s="13"/>
      <c r="G174" s="14" t="s">
        <v>30</v>
      </c>
      <c r="H174" s="13"/>
      <c r="I174" s="13"/>
      <c r="J174" s="13"/>
      <c r="K174" s="13"/>
      <c r="L174" s="13"/>
      <c r="M174" s="13" t="s">
        <v>658</v>
      </c>
    </row>
    <row r="175" spans="1:13" ht="32.1" customHeight="1" x14ac:dyDescent="0.2">
      <c r="A175" s="12" t="str">
        <f>$C$4&amp;"-"&amp;TEXT(COUNTA($D$12:D175),"00")</f>
        <v>TC-152</v>
      </c>
      <c r="B175" s="18" t="s">
        <v>659</v>
      </c>
      <c r="C175" s="6" t="s">
        <v>489</v>
      </c>
      <c r="D175" s="6" t="s">
        <v>660</v>
      </c>
      <c r="E175" s="6" t="s">
        <v>494</v>
      </c>
      <c r="F175" s="13"/>
      <c r="G175" s="14" t="s">
        <v>30</v>
      </c>
      <c r="H175" s="13"/>
      <c r="I175" s="13"/>
      <c r="J175" s="13"/>
      <c r="K175" s="13"/>
      <c r="L175" s="13"/>
      <c r="M175" s="13" t="s">
        <v>661</v>
      </c>
    </row>
    <row r="176" spans="1:13" ht="32.1" customHeight="1" x14ac:dyDescent="0.2">
      <c r="A176" s="12" t="str">
        <f>$C$4&amp;"-"&amp;TEXT(COUNTA($D$12:D176),"00")</f>
        <v>TC-153</v>
      </c>
      <c r="B176" s="19"/>
      <c r="C176" s="6" t="s">
        <v>662</v>
      </c>
      <c r="D176" s="6" t="s">
        <v>663</v>
      </c>
      <c r="E176" s="6" t="s">
        <v>664</v>
      </c>
      <c r="F176" s="13" t="s">
        <v>665</v>
      </c>
      <c r="G176" s="14" t="s">
        <v>30</v>
      </c>
      <c r="H176" s="13"/>
      <c r="I176" s="13"/>
      <c r="J176" s="13"/>
      <c r="K176" s="13"/>
      <c r="L176" s="13"/>
      <c r="M176" s="13" t="s">
        <v>661</v>
      </c>
    </row>
    <row r="177" spans="1:13" ht="96" customHeight="1" x14ac:dyDescent="0.2">
      <c r="A177" s="12" t="str">
        <f>$C$4&amp;"-"&amp;TEXT(COUNTA($D$12:D177),"00")</f>
        <v>TC-154</v>
      </c>
      <c r="B177" s="19"/>
      <c r="C177" s="6" t="s">
        <v>586</v>
      </c>
      <c r="D177" s="6" t="s">
        <v>587</v>
      </c>
      <c r="E177" s="6" t="s">
        <v>666</v>
      </c>
      <c r="F177" s="13" t="s">
        <v>589</v>
      </c>
      <c r="G177" s="14" t="s">
        <v>30</v>
      </c>
      <c r="H177" s="13"/>
      <c r="I177" s="13"/>
      <c r="J177" s="13"/>
      <c r="K177" s="13"/>
      <c r="L177" s="13"/>
      <c r="M177" s="13" t="s">
        <v>667</v>
      </c>
    </row>
    <row r="178" spans="1:13" ht="48" customHeight="1" x14ac:dyDescent="0.2">
      <c r="A178" s="12" t="str">
        <f>$C$4&amp;"-"&amp;TEXT(COUNTA($D$12:D178),"00")</f>
        <v>TC-155</v>
      </c>
      <c r="B178" s="19"/>
      <c r="C178" s="6" t="s">
        <v>591</v>
      </c>
      <c r="D178" s="6" t="s">
        <v>592</v>
      </c>
      <c r="E178" s="6" t="s">
        <v>593</v>
      </c>
      <c r="F178" s="13" t="s">
        <v>594</v>
      </c>
      <c r="G178" s="14" t="s">
        <v>30</v>
      </c>
      <c r="H178" s="13"/>
      <c r="I178" s="13"/>
      <c r="J178" s="13"/>
      <c r="K178" s="13"/>
      <c r="L178" s="13"/>
      <c r="M178" s="13" t="s">
        <v>668</v>
      </c>
    </row>
    <row r="179" spans="1:13" ht="48" customHeight="1" x14ac:dyDescent="0.2">
      <c r="A179" s="12" t="str">
        <f>$C$4&amp;"-"&amp;TEXT(COUNTA($D$12:D179),"00")</f>
        <v>TC-156</v>
      </c>
      <c r="B179" s="19"/>
      <c r="C179" s="6" t="s">
        <v>596</v>
      </c>
      <c r="D179" s="6" t="s">
        <v>669</v>
      </c>
      <c r="E179" s="6" t="s">
        <v>598</v>
      </c>
      <c r="F179" s="13" t="s">
        <v>670</v>
      </c>
      <c r="G179" s="14" t="s">
        <v>30</v>
      </c>
      <c r="H179" s="13"/>
      <c r="I179" s="13"/>
      <c r="J179" s="13"/>
      <c r="K179" s="13"/>
      <c r="L179" s="13"/>
      <c r="M179" s="13" t="s">
        <v>671</v>
      </c>
    </row>
    <row r="180" spans="1:13" ht="63.95" customHeight="1" x14ac:dyDescent="0.2">
      <c r="A180" s="12" t="str">
        <f>$C$4&amp;"-"&amp;TEXT(COUNTA($D$12:D180),"00")</f>
        <v>TC-157</v>
      </c>
      <c r="B180" s="19"/>
      <c r="C180" s="6" t="s">
        <v>601</v>
      </c>
      <c r="D180" s="6" t="s">
        <v>672</v>
      </c>
      <c r="E180" s="6" t="s">
        <v>673</v>
      </c>
      <c r="F180" s="13" t="s">
        <v>674</v>
      </c>
      <c r="G180" s="14" t="s">
        <v>30</v>
      </c>
      <c r="H180" s="13"/>
      <c r="I180" s="13"/>
      <c r="J180" s="13"/>
      <c r="K180" s="13"/>
      <c r="L180" s="13"/>
      <c r="M180" s="13" t="s">
        <v>675</v>
      </c>
    </row>
    <row r="181" spans="1:13" ht="48" customHeight="1" x14ac:dyDescent="0.2">
      <c r="A181" s="12" t="str">
        <f>$C$4&amp;"-"&amp;TEXT(COUNTA($D$12:D181),"00")</f>
        <v>TC-158</v>
      </c>
      <c r="B181" s="19"/>
      <c r="C181" s="6" t="s">
        <v>606</v>
      </c>
      <c r="D181" s="6" t="s">
        <v>676</v>
      </c>
      <c r="E181" s="6" t="s">
        <v>608</v>
      </c>
      <c r="F181" s="13" t="s">
        <v>677</v>
      </c>
      <c r="G181" s="14" t="s">
        <v>30</v>
      </c>
      <c r="H181" s="13"/>
      <c r="I181" s="13"/>
      <c r="J181" s="13"/>
      <c r="K181" s="13"/>
      <c r="L181" s="13"/>
      <c r="M181" s="13" t="s">
        <v>671</v>
      </c>
    </row>
    <row r="182" spans="1:13" ht="63.95" customHeight="1" x14ac:dyDescent="0.2">
      <c r="A182" s="12" t="str">
        <f>$C$4&amp;"-"&amp;TEXT(COUNTA($D$12:D182),"00")</f>
        <v>TC-159</v>
      </c>
      <c r="B182" s="19"/>
      <c r="C182" s="6" t="s">
        <v>678</v>
      </c>
      <c r="D182" s="6" t="s">
        <v>679</v>
      </c>
      <c r="E182" s="6" t="s">
        <v>680</v>
      </c>
      <c r="F182" s="13" t="s">
        <v>299</v>
      </c>
      <c r="G182" s="14" t="s">
        <v>30</v>
      </c>
      <c r="H182" s="13"/>
      <c r="I182" s="13"/>
      <c r="J182" s="13"/>
      <c r="K182" s="13"/>
      <c r="L182" s="13"/>
      <c r="M182" s="13" t="s">
        <v>681</v>
      </c>
    </row>
    <row r="183" spans="1:13" ht="80.099999999999994" customHeight="1" x14ac:dyDescent="0.2">
      <c r="A183" s="12" t="str">
        <f>$C$4&amp;"-"&amp;TEXT(COUNTA($D$12:D183),"00")</f>
        <v>TC-160</v>
      </c>
      <c r="B183" s="20"/>
      <c r="C183" s="6" t="s">
        <v>682</v>
      </c>
      <c r="D183" s="6" t="s">
        <v>683</v>
      </c>
      <c r="E183" s="6" t="s">
        <v>684</v>
      </c>
      <c r="F183" s="13" t="s">
        <v>685</v>
      </c>
      <c r="G183" s="14" t="s">
        <v>30</v>
      </c>
      <c r="H183" s="13"/>
      <c r="I183" s="13"/>
      <c r="J183" s="13"/>
      <c r="K183" s="13"/>
      <c r="L183" s="13"/>
      <c r="M183" s="13" t="s">
        <v>686</v>
      </c>
    </row>
    <row r="184" spans="1:13" ht="32.1" customHeight="1" x14ac:dyDescent="0.2">
      <c r="A184" s="12" t="str">
        <f>$C$4&amp;"-"&amp;TEXT(COUNTA($D$12:D184),"00")</f>
        <v>TC-161</v>
      </c>
      <c r="B184" s="6" t="s">
        <v>687</v>
      </c>
      <c r="C184" s="6" t="s">
        <v>688</v>
      </c>
      <c r="D184" s="6" t="s">
        <v>689</v>
      </c>
      <c r="E184" s="6" t="s">
        <v>690</v>
      </c>
      <c r="F184" s="13"/>
      <c r="G184" s="14" t="s">
        <v>30</v>
      </c>
      <c r="H184" s="13"/>
      <c r="I184" s="13"/>
      <c r="J184" s="13"/>
      <c r="K184" s="13"/>
      <c r="L184" s="13"/>
      <c r="M184" s="13" t="s">
        <v>691</v>
      </c>
    </row>
    <row r="185" spans="1:13" ht="32.1" customHeight="1" x14ac:dyDescent="0.2">
      <c r="A185" s="12" t="str">
        <f>$C$4&amp;"-"&amp;TEXT(COUNTA($D$12:D185),"00")</f>
        <v>TC-162</v>
      </c>
      <c r="B185" s="18" t="s">
        <v>692</v>
      </c>
      <c r="C185" s="6" t="s">
        <v>648</v>
      </c>
      <c r="D185" s="6" t="s">
        <v>693</v>
      </c>
      <c r="E185" s="6" t="s">
        <v>694</v>
      </c>
      <c r="F185" s="13"/>
      <c r="G185" s="14" t="s">
        <v>30</v>
      </c>
      <c r="H185" s="13"/>
      <c r="I185" s="13"/>
      <c r="J185" s="13"/>
      <c r="K185" s="13"/>
      <c r="L185" s="13"/>
      <c r="M185" s="13" t="s">
        <v>695</v>
      </c>
    </row>
    <row r="186" spans="1:13" ht="32.1" customHeight="1" x14ac:dyDescent="0.2">
      <c r="A186" s="12" t="str">
        <f>$C$4&amp;"-"&amp;TEXT(COUNTA($D$12:D186),"00")</f>
        <v>TC-163</v>
      </c>
      <c r="B186" s="19"/>
      <c r="C186" s="6" t="s">
        <v>696</v>
      </c>
      <c r="D186" s="6" t="s">
        <v>697</v>
      </c>
      <c r="E186" s="6" t="s">
        <v>698</v>
      </c>
      <c r="F186" s="13"/>
      <c r="G186" s="14" t="s">
        <v>30</v>
      </c>
      <c r="H186" s="13"/>
      <c r="I186" s="13"/>
      <c r="J186" s="13"/>
      <c r="K186" s="13"/>
      <c r="L186" s="13"/>
      <c r="M186" s="13" t="s">
        <v>695</v>
      </c>
    </row>
    <row r="187" spans="1:13" ht="48" customHeight="1" x14ac:dyDescent="0.2">
      <c r="A187" s="12" t="str">
        <f>$C$4&amp;"-"&amp;TEXT(COUNTA($D$12:D187),"00")</f>
        <v>TC-164</v>
      </c>
      <c r="B187" s="20"/>
      <c r="C187" s="6" t="s">
        <v>699</v>
      </c>
      <c r="D187" s="6" t="s">
        <v>700</v>
      </c>
      <c r="E187" s="6" t="s">
        <v>701</v>
      </c>
      <c r="F187" s="13"/>
      <c r="G187" s="14" t="s">
        <v>30</v>
      </c>
      <c r="H187" s="13"/>
      <c r="I187" s="13"/>
      <c r="J187" s="13"/>
      <c r="K187" s="13"/>
      <c r="L187" s="13"/>
      <c r="M187" s="13" t="s">
        <v>702</v>
      </c>
    </row>
    <row r="188" spans="1:13" ht="63.95" customHeight="1" x14ac:dyDescent="0.2">
      <c r="A188" s="12" t="str">
        <f>$C$4&amp;"-"&amp;TEXT(COUNTA($D$12:D188),"00")</f>
        <v>TC-165</v>
      </c>
      <c r="B188" s="18" t="s">
        <v>703</v>
      </c>
      <c r="C188" s="6" t="s">
        <v>704</v>
      </c>
      <c r="D188" s="6" t="s">
        <v>705</v>
      </c>
      <c r="E188" s="6" t="s">
        <v>556</v>
      </c>
      <c r="F188" s="13"/>
      <c r="G188" s="14" t="s">
        <v>30</v>
      </c>
      <c r="H188" s="13"/>
      <c r="I188" s="13"/>
      <c r="J188" s="13"/>
      <c r="K188" s="13"/>
      <c r="L188" s="13"/>
      <c r="M188" s="13" t="s">
        <v>706</v>
      </c>
    </row>
    <row r="189" spans="1:13" ht="48" customHeight="1" x14ac:dyDescent="0.2">
      <c r="A189" s="12" t="str">
        <f>$C$4&amp;"-"&amp;TEXT(COUNTA($D$12:D189),"00")</f>
        <v>TC-166</v>
      </c>
      <c r="B189" s="19"/>
      <c r="C189" s="6" t="s">
        <v>516</v>
      </c>
      <c r="D189" s="6" t="s">
        <v>707</v>
      </c>
      <c r="E189" s="6" t="s">
        <v>708</v>
      </c>
      <c r="F189" s="13" t="s">
        <v>519</v>
      </c>
      <c r="G189" s="14" t="s">
        <v>30</v>
      </c>
      <c r="H189" s="13"/>
      <c r="I189" s="13"/>
      <c r="J189" s="13"/>
      <c r="K189" s="13"/>
      <c r="L189" s="13"/>
      <c r="M189" s="13" t="s">
        <v>709</v>
      </c>
    </row>
    <row r="190" spans="1:13" ht="80.099999999999994" customHeight="1" x14ac:dyDescent="0.2">
      <c r="A190" s="12" t="str">
        <f>$C$4&amp;"-"&amp;TEXT(COUNTA($D$12:D190),"00")</f>
        <v>TC-167</v>
      </c>
      <c r="B190" s="19"/>
      <c r="C190" s="6" t="s">
        <v>520</v>
      </c>
      <c r="D190" s="6" t="s">
        <v>710</v>
      </c>
      <c r="E190" s="6" t="s">
        <v>711</v>
      </c>
      <c r="F190" s="13" t="s">
        <v>523</v>
      </c>
      <c r="G190" s="14" t="s">
        <v>30</v>
      </c>
      <c r="H190" s="13"/>
      <c r="I190" s="13"/>
      <c r="J190" s="13"/>
      <c r="K190" s="13"/>
      <c r="L190" s="13"/>
      <c r="M190" s="13" t="s">
        <v>712</v>
      </c>
    </row>
    <row r="191" spans="1:13" ht="32.1" customHeight="1" x14ac:dyDescent="0.2">
      <c r="A191" s="12" t="str">
        <f>$C$4&amp;"-"&amp;TEXT(COUNTA($D$12:D191),"00")</f>
        <v>TC-168</v>
      </c>
      <c r="B191" s="20"/>
      <c r="C191" s="6" t="s">
        <v>570</v>
      </c>
      <c r="D191" s="6" t="s">
        <v>713</v>
      </c>
      <c r="E191" s="6" t="s">
        <v>572</v>
      </c>
      <c r="F191" s="13" t="s">
        <v>714</v>
      </c>
      <c r="G191" s="14" t="s">
        <v>30</v>
      </c>
      <c r="H191" s="13"/>
      <c r="I191" s="13"/>
      <c r="J191" s="13"/>
      <c r="K191" s="13"/>
      <c r="L191" s="13"/>
      <c r="M191" s="13" t="s">
        <v>715</v>
      </c>
    </row>
    <row r="192" spans="1:13" ht="32.1" customHeight="1" x14ac:dyDescent="0.2">
      <c r="A192" s="12" t="str">
        <f>$C$4&amp;"-"&amp;TEXT(COUNTA($D$12:D192),"00")</f>
        <v>TC-169</v>
      </c>
      <c r="B192" s="18" t="s">
        <v>716</v>
      </c>
      <c r="C192" s="6" t="s">
        <v>696</v>
      </c>
      <c r="D192" s="6" t="s">
        <v>717</v>
      </c>
      <c r="E192" s="6" t="s">
        <v>718</v>
      </c>
      <c r="F192" s="13"/>
      <c r="G192" s="14" t="s">
        <v>30</v>
      </c>
      <c r="H192" s="13"/>
      <c r="I192" s="13"/>
      <c r="J192" s="13"/>
      <c r="K192" s="13"/>
      <c r="L192" s="13"/>
      <c r="M192" s="13" t="s">
        <v>719</v>
      </c>
    </row>
    <row r="193" spans="1:13" ht="48" customHeight="1" x14ac:dyDescent="0.2">
      <c r="A193" s="12" t="str">
        <f>$C$4&amp;"-"&amp;TEXT(COUNTA($D$12:D193),"00")</f>
        <v>TC-170</v>
      </c>
      <c r="B193" s="19"/>
      <c r="C193" s="6" t="s">
        <v>720</v>
      </c>
      <c r="D193" s="6" t="s">
        <v>721</v>
      </c>
      <c r="E193" s="6" t="s">
        <v>722</v>
      </c>
      <c r="F193" s="13"/>
      <c r="G193" s="14" t="s">
        <v>30</v>
      </c>
      <c r="H193" s="13"/>
      <c r="I193" s="13"/>
      <c r="J193" s="13"/>
      <c r="K193" s="13"/>
      <c r="L193" s="13"/>
      <c r="M193" s="13" t="s">
        <v>723</v>
      </c>
    </row>
    <row r="194" spans="1:13" ht="48" customHeight="1" x14ac:dyDescent="0.2">
      <c r="A194" s="12" t="str">
        <f>$C$4&amp;"-"&amp;TEXT(COUNTA($D$12:D194),"00")</f>
        <v>TC-171</v>
      </c>
      <c r="B194" s="19"/>
      <c r="C194" s="6" t="s">
        <v>724</v>
      </c>
      <c r="D194" s="6" t="s">
        <v>725</v>
      </c>
      <c r="E194" s="6" t="s">
        <v>726</v>
      </c>
      <c r="F194" s="13"/>
      <c r="G194" s="14" t="s">
        <v>30</v>
      </c>
      <c r="H194" s="13"/>
      <c r="I194" s="13"/>
      <c r="J194" s="13"/>
      <c r="K194" s="13"/>
      <c r="L194" s="13"/>
      <c r="M194" s="13" t="s">
        <v>727</v>
      </c>
    </row>
    <row r="195" spans="1:13" ht="48" customHeight="1" x14ac:dyDescent="0.2">
      <c r="A195" s="12" t="str">
        <f>$C$4&amp;"-"&amp;TEXT(COUNTA($D$12:D195),"00")</f>
        <v>TC-172</v>
      </c>
      <c r="B195" s="19"/>
      <c r="C195" s="6" t="s">
        <v>728</v>
      </c>
      <c r="D195" s="6" t="s">
        <v>729</v>
      </c>
      <c r="E195" s="6" t="s">
        <v>730</v>
      </c>
      <c r="F195" s="13"/>
      <c r="G195" s="14" t="s">
        <v>30</v>
      </c>
      <c r="H195" s="13"/>
      <c r="I195" s="13"/>
      <c r="J195" s="13"/>
      <c r="K195" s="13"/>
      <c r="L195" s="13"/>
      <c r="M195" s="13" t="s">
        <v>727</v>
      </c>
    </row>
    <row r="196" spans="1:13" ht="32.1" customHeight="1" x14ac:dyDescent="0.2">
      <c r="A196" s="12" t="str">
        <f>$C$4&amp;"-"&amp;TEXT(COUNTA($D$12:D196),"00")</f>
        <v>TC-173</v>
      </c>
      <c r="B196" s="20"/>
      <c r="C196" s="6" t="s">
        <v>731</v>
      </c>
      <c r="D196" s="6" t="s">
        <v>732</v>
      </c>
      <c r="E196" s="6" t="s">
        <v>733</v>
      </c>
      <c r="F196" s="13"/>
      <c r="G196" s="14" t="s">
        <v>30</v>
      </c>
      <c r="H196" s="13"/>
      <c r="I196" s="13"/>
      <c r="J196" s="13"/>
      <c r="K196" s="13"/>
      <c r="L196" s="13"/>
      <c r="M196" s="13" t="s">
        <v>719</v>
      </c>
    </row>
    <row r="197" spans="1:13" ht="48" customHeight="1" x14ac:dyDescent="0.2">
      <c r="A197" s="12" t="str">
        <f>$C$4&amp;"-"&amp;TEXT(COUNTA($D$12:D197),"00")</f>
        <v>TC-174</v>
      </c>
      <c r="B197" s="18" t="s">
        <v>734</v>
      </c>
      <c r="C197" s="6" t="s">
        <v>735</v>
      </c>
      <c r="D197" s="6" t="s">
        <v>736</v>
      </c>
      <c r="E197" s="6" t="s">
        <v>737</v>
      </c>
      <c r="F197" s="13"/>
      <c r="G197" s="14" t="s">
        <v>30</v>
      </c>
      <c r="H197" s="13"/>
      <c r="I197" s="13"/>
      <c r="J197" s="13"/>
      <c r="K197" s="13"/>
      <c r="L197" s="13"/>
      <c r="M197" s="13" t="s">
        <v>738</v>
      </c>
    </row>
    <row r="198" spans="1:13" ht="144" customHeight="1" x14ac:dyDescent="0.2">
      <c r="A198" s="12" t="str">
        <f>$C$4&amp;"-"&amp;TEXT(COUNTA($D$12:D198),"00")</f>
        <v>TC-175</v>
      </c>
      <c r="B198" s="19"/>
      <c r="C198" s="6" t="s">
        <v>739</v>
      </c>
      <c r="D198" s="6" t="s">
        <v>740</v>
      </c>
      <c r="E198" s="6" t="s">
        <v>741</v>
      </c>
      <c r="F198" s="13"/>
      <c r="G198" s="14" t="s">
        <v>30</v>
      </c>
      <c r="H198" s="13"/>
      <c r="I198" s="13"/>
      <c r="J198" s="13"/>
      <c r="K198" s="13"/>
      <c r="L198" s="13"/>
      <c r="M198" s="13" t="s">
        <v>742</v>
      </c>
    </row>
    <row r="199" spans="1:13" ht="48" customHeight="1" x14ac:dyDescent="0.2">
      <c r="A199" s="12" t="str">
        <f>$C$4&amp;"-"&amp;TEXT(COUNTA($D$12:D199),"00")</f>
        <v>TC-176</v>
      </c>
      <c r="B199" s="19"/>
      <c r="C199" s="6" t="s">
        <v>743</v>
      </c>
      <c r="D199" s="6" t="s">
        <v>744</v>
      </c>
      <c r="E199" s="6" t="s">
        <v>745</v>
      </c>
      <c r="F199" s="13"/>
      <c r="G199" s="14" t="s">
        <v>30</v>
      </c>
      <c r="H199" s="13"/>
      <c r="I199" s="13"/>
      <c r="J199" s="13"/>
      <c r="K199" s="13"/>
      <c r="L199" s="13"/>
      <c r="M199" s="13" t="s">
        <v>746</v>
      </c>
    </row>
    <row r="200" spans="1:13" ht="48" customHeight="1" x14ac:dyDescent="0.2">
      <c r="A200" s="12" t="str">
        <f>$C$4&amp;"-"&amp;TEXT(COUNTA($D$12:D200),"00")</f>
        <v>TC-177</v>
      </c>
      <c r="B200" s="20"/>
      <c r="C200" s="6" t="s">
        <v>747</v>
      </c>
      <c r="D200" s="6" t="s">
        <v>748</v>
      </c>
      <c r="E200" s="6" t="s">
        <v>749</v>
      </c>
      <c r="F200" s="13"/>
      <c r="G200" s="14" t="s">
        <v>30</v>
      </c>
      <c r="H200" s="13"/>
      <c r="I200" s="13"/>
      <c r="J200" s="13"/>
      <c r="K200" s="13"/>
      <c r="L200" s="13"/>
      <c r="M200" s="13" t="s">
        <v>750</v>
      </c>
    </row>
    <row r="201" spans="1:13" ht="63.95" customHeight="1" x14ac:dyDescent="0.2">
      <c r="A201" s="12" t="str">
        <f>$C$4&amp;"-"&amp;TEXT(COUNTA($D$12:D201),"00")</f>
        <v>TC-178</v>
      </c>
      <c r="B201" s="18" t="s">
        <v>751</v>
      </c>
      <c r="C201" s="6" t="s">
        <v>752</v>
      </c>
      <c r="D201" s="6" t="s">
        <v>753</v>
      </c>
      <c r="E201" s="6" t="s">
        <v>754</v>
      </c>
      <c r="F201" s="13"/>
      <c r="G201" s="14" t="s">
        <v>30</v>
      </c>
      <c r="H201" s="13"/>
      <c r="I201" s="13"/>
      <c r="J201" s="13"/>
      <c r="K201" s="13"/>
      <c r="L201" s="13"/>
      <c r="M201" s="13" t="s">
        <v>755</v>
      </c>
    </row>
    <row r="202" spans="1:13" ht="63.95" customHeight="1" x14ac:dyDescent="0.2">
      <c r="A202" s="12" t="str">
        <f>$C$4&amp;"-"&amp;TEXT(COUNTA($D$12:D202),"00")</f>
        <v>TC-179</v>
      </c>
      <c r="B202" s="20"/>
      <c r="C202" s="6" t="s">
        <v>756</v>
      </c>
      <c r="D202" s="6" t="s">
        <v>757</v>
      </c>
      <c r="E202" s="6" t="s">
        <v>758</v>
      </c>
      <c r="F202" s="13"/>
      <c r="G202" s="14" t="s">
        <v>30</v>
      </c>
      <c r="H202" s="13"/>
      <c r="I202" s="13"/>
      <c r="J202" s="13"/>
      <c r="K202" s="13"/>
      <c r="L202" s="13"/>
      <c r="M202" s="13" t="s">
        <v>759</v>
      </c>
    </row>
    <row r="203" spans="1:13" ht="96" customHeight="1" x14ac:dyDescent="0.2">
      <c r="A203" s="12" t="str">
        <f>$C$4&amp;"-"&amp;TEXT(COUNTA($D$12:D203),"00")</f>
        <v>TC-180</v>
      </c>
      <c r="B203" s="18" t="s">
        <v>760</v>
      </c>
      <c r="C203" s="6" t="s">
        <v>648</v>
      </c>
      <c r="D203" s="6" t="s">
        <v>761</v>
      </c>
      <c r="E203" s="6" t="s">
        <v>762</v>
      </c>
      <c r="F203" s="13"/>
      <c r="G203" s="14" t="s">
        <v>30</v>
      </c>
      <c r="H203" s="13"/>
      <c r="I203" s="13"/>
      <c r="J203" s="13"/>
      <c r="K203" s="13"/>
      <c r="L203" s="13"/>
      <c r="M203" s="13" t="s">
        <v>763</v>
      </c>
    </row>
    <row r="204" spans="1:13" ht="63.95" customHeight="1" x14ac:dyDescent="0.2">
      <c r="A204" s="12" t="str">
        <f>$C$4&amp;"-"&amp;TEXT(COUNTA($D$12:D204),"00")</f>
        <v>TC-181</v>
      </c>
      <c r="B204" s="19"/>
      <c r="C204" s="6" t="s">
        <v>764</v>
      </c>
      <c r="D204" s="6" t="s">
        <v>765</v>
      </c>
      <c r="E204" s="6" t="s">
        <v>766</v>
      </c>
      <c r="F204" s="13" t="s">
        <v>767</v>
      </c>
      <c r="G204" s="14" t="s">
        <v>30</v>
      </c>
      <c r="H204" s="13"/>
      <c r="I204" s="13"/>
      <c r="J204" s="13"/>
      <c r="K204" s="13"/>
      <c r="L204" s="13"/>
      <c r="M204" s="13" t="s">
        <v>768</v>
      </c>
    </row>
    <row r="205" spans="1:13" ht="48" customHeight="1" x14ac:dyDescent="0.2">
      <c r="A205" s="12" t="str">
        <f>$C$4&amp;"-"&amp;TEXT(COUNTA($D$12:D205),"00")</f>
        <v>TC-182</v>
      </c>
      <c r="B205" s="19"/>
      <c r="C205" s="6" t="s">
        <v>769</v>
      </c>
      <c r="D205" s="6" t="s">
        <v>770</v>
      </c>
      <c r="E205" s="6" t="s">
        <v>494</v>
      </c>
      <c r="F205" s="13"/>
      <c r="G205" s="14" t="s">
        <v>30</v>
      </c>
      <c r="H205" s="13"/>
      <c r="I205" s="13"/>
      <c r="J205" s="13"/>
      <c r="K205" s="13"/>
      <c r="L205" s="13"/>
      <c r="M205" s="13" t="s">
        <v>771</v>
      </c>
    </row>
    <row r="206" spans="1:13" ht="63.95" customHeight="1" x14ac:dyDescent="0.2">
      <c r="A206" s="12" t="str">
        <f>$C$4&amp;"-"&amp;TEXT(COUNTA($D$12:D206),"00")</f>
        <v>TC-183</v>
      </c>
      <c r="B206" s="19"/>
      <c r="C206" s="6" t="s">
        <v>772</v>
      </c>
      <c r="D206" s="6" t="s">
        <v>773</v>
      </c>
      <c r="E206" s="6" t="s">
        <v>774</v>
      </c>
      <c r="F206" s="13" t="s">
        <v>775</v>
      </c>
      <c r="G206" s="14" t="s">
        <v>30</v>
      </c>
      <c r="H206" s="13"/>
      <c r="I206" s="13"/>
      <c r="J206" s="13"/>
      <c r="K206" s="13"/>
      <c r="L206" s="13"/>
      <c r="M206" s="13" t="s">
        <v>776</v>
      </c>
    </row>
    <row r="207" spans="1:13" ht="48" customHeight="1" x14ac:dyDescent="0.2">
      <c r="A207" s="12" t="str">
        <f>$C$4&amp;"-"&amp;TEXT(COUNTA($D$12:D207),"00")</f>
        <v>TC-184</v>
      </c>
      <c r="B207" s="19"/>
      <c r="C207" s="6" t="s">
        <v>777</v>
      </c>
      <c r="D207" s="6" t="s">
        <v>778</v>
      </c>
      <c r="E207" s="6" t="s">
        <v>779</v>
      </c>
      <c r="F207" s="13" t="s">
        <v>780</v>
      </c>
      <c r="G207" s="14" t="s">
        <v>30</v>
      </c>
      <c r="H207" s="13"/>
      <c r="I207" s="13"/>
      <c r="J207" s="13"/>
      <c r="K207" s="13"/>
      <c r="L207" s="13"/>
      <c r="M207" s="13" t="s">
        <v>781</v>
      </c>
    </row>
    <row r="208" spans="1:13" ht="48" customHeight="1" x14ac:dyDescent="0.2">
      <c r="A208" s="12" t="str">
        <f>$C$4&amp;"-"&amp;TEXT(COUNTA($D$12:D208),"00")</f>
        <v>TC-185</v>
      </c>
      <c r="B208" s="20"/>
      <c r="C208" s="6" t="s">
        <v>782</v>
      </c>
      <c r="D208" s="6" t="s">
        <v>783</v>
      </c>
      <c r="E208" s="6" t="s">
        <v>784</v>
      </c>
      <c r="F208" s="13" t="s">
        <v>785</v>
      </c>
      <c r="G208" s="14" t="s">
        <v>30</v>
      </c>
      <c r="H208" s="13"/>
      <c r="I208" s="13"/>
      <c r="J208" s="13"/>
      <c r="K208" s="13"/>
      <c r="L208" s="13"/>
      <c r="M208" s="13" t="s">
        <v>781</v>
      </c>
    </row>
    <row r="209" spans="1:13" ht="63.95" customHeight="1" x14ac:dyDescent="0.2">
      <c r="A209" s="12" t="str">
        <f>$C$4&amp;"-"&amp;TEXT(COUNTA($D$12:D209),"00")</f>
        <v>TC-186</v>
      </c>
      <c r="B209" s="18" t="s">
        <v>786</v>
      </c>
      <c r="C209" s="6" t="s">
        <v>648</v>
      </c>
      <c r="D209" s="6" t="s">
        <v>787</v>
      </c>
      <c r="E209" s="6" t="s">
        <v>788</v>
      </c>
      <c r="F209" s="13"/>
      <c r="G209" s="14" t="s">
        <v>30</v>
      </c>
      <c r="H209" s="13"/>
      <c r="I209" s="13"/>
      <c r="J209" s="13"/>
      <c r="K209" s="13"/>
      <c r="L209" s="13"/>
      <c r="M209" s="13" t="s">
        <v>789</v>
      </c>
    </row>
    <row r="210" spans="1:13" ht="48" customHeight="1" x14ac:dyDescent="0.2">
      <c r="A210" s="12" t="str">
        <f>$C$4&amp;"-"&amp;TEXT(COUNTA($D$12:D210),"00")</f>
        <v>TC-187</v>
      </c>
      <c r="B210" s="19"/>
      <c r="C210" s="6" t="s">
        <v>769</v>
      </c>
      <c r="D210" s="6" t="s">
        <v>790</v>
      </c>
      <c r="E210" s="6" t="s">
        <v>494</v>
      </c>
      <c r="F210" s="13"/>
      <c r="G210" s="14" t="s">
        <v>30</v>
      </c>
      <c r="H210" s="13"/>
      <c r="I210" s="13"/>
      <c r="J210" s="13"/>
      <c r="K210" s="13"/>
      <c r="L210" s="13"/>
      <c r="M210" s="13" t="s">
        <v>791</v>
      </c>
    </row>
    <row r="211" spans="1:13" ht="63.95" customHeight="1" x14ac:dyDescent="0.2">
      <c r="A211" s="12" t="str">
        <f>$C$4&amp;"-"&amp;TEXT(COUNTA($D$12:D211),"00")</f>
        <v>TC-188</v>
      </c>
      <c r="B211" s="19"/>
      <c r="C211" s="6" t="s">
        <v>792</v>
      </c>
      <c r="D211" s="6" t="s">
        <v>793</v>
      </c>
      <c r="E211" s="6" t="s">
        <v>794</v>
      </c>
      <c r="F211" s="13"/>
      <c r="G211" s="14" t="s">
        <v>30</v>
      </c>
      <c r="H211" s="13"/>
      <c r="I211" s="13"/>
      <c r="J211" s="13"/>
      <c r="K211" s="13"/>
      <c r="L211" s="13"/>
      <c r="M211" s="13" t="s">
        <v>795</v>
      </c>
    </row>
    <row r="212" spans="1:13" ht="48" customHeight="1" x14ac:dyDescent="0.2">
      <c r="A212" s="12" t="str">
        <f>$C$4&amp;"-"&amp;TEXT(COUNTA($D$12:D212),"00")</f>
        <v>TC-189</v>
      </c>
      <c r="B212" s="19"/>
      <c r="C212" s="6" t="s">
        <v>796</v>
      </c>
      <c r="D212" s="6" t="s">
        <v>797</v>
      </c>
      <c r="E212" s="6" t="s">
        <v>798</v>
      </c>
      <c r="F212" s="13"/>
      <c r="G212" s="14" t="s">
        <v>30</v>
      </c>
      <c r="H212" s="13"/>
      <c r="I212" s="13"/>
      <c r="J212" s="13"/>
      <c r="K212" s="13"/>
      <c r="L212" s="13"/>
      <c r="M212" s="13" t="s">
        <v>799</v>
      </c>
    </row>
    <row r="213" spans="1:13" ht="48" customHeight="1" x14ac:dyDescent="0.2">
      <c r="A213" s="12" t="str">
        <f>$C$4&amp;"-"&amp;TEXT(COUNTA($D$12:D213),"00")</f>
        <v>TC-190</v>
      </c>
      <c r="B213" s="19"/>
      <c r="C213" s="6" t="s">
        <v>800</v>
      </c>
      <c r="D213" s="6" t="s">
        <v>801</v>
      </c>
      <c r="E213" s="6" t="s">
        <v>784</v>
      </c>
      <c r="F213" s="13"/>
      <c r="G213" s="14" t="s">
        <v>30</v>
      </c>
      <c r="H213" s="13"/>
      <c r="I213" s="13"/>
      <c r="J213" s="13"/>
      <c r="K213" s="13"/>
      <c r="L213" s="13"/>
      <c r="M213" s="13" t="s">
        <v>799</v>
      </c>
    </row>
    <row r="214" spans="1:13" ht="48" customHeight="1" x14ac:dyDescent="0.2">
      <c r="A214" s="12" t="str">
        <f>$C$4&amp;"-"&amp;TEXT(COUNTA($D$12:D214),"00")</f>
        <v>TC-191</v>
      </c>
      <c r="B214" s="20"/>
      <c r="C214" s="6" t="s">
        <v>802</v>
      </c>
      <c r="D214" s="6" t="s">
        <v>803</v>
      </c>
      <c r="E214" s="6" t="s">
        <v>804</v>
      </c>
      <c r="F214" s="13" t="s">
        <v>805</v>
      </c>
      <c r="G214" s="14" t="s">
        <v>30</v>
      </c>
      <c r="H214" s="13"/>
      <c r="I214" s="13"/>
      <c r="J214" s="13"/>
      <c r="K214" s="13"/>
      <c r="L214" s="13"/>
      <c r="M214" s="13" t="s">
        <v>806</v>
      </c>
    </row>
    <row r="215" spans="1:13" ht="63.95" customHeight="1" x14ac:dyDescent="0.2">
      <c r="A215" s="12" t="str">
        <f>$C$4&amp;"-"&amp;TEXT(COUNTA($D$12:D215),"00")</f>
        <v>TC-192</v>
      </c>
      <c r="B215" s="18" t="s">
        <v>807</v>
      </c>
      <c r="C215" s="6" t="s">
        <v>489</v>
      </c>
      <c r="D215" s="6" t="s">
        <v>808</v>
      </c>
      <c r="E215" s="6" t="s">
        <v>809</v>
      </c>
      <c r="F215" s="13"/>
      <c r="G215" s="14" t="s">
        <v>30</v>
      </c>
      <c r="H215" s="13"/>
      <c r="I215" s="13"/>
      <c r="J215" s="13"/>
      <c r="K215" s="13"/>
      <c r="L215" s="13"/>
      <c r="M215" s="13" t="s">
        <v>810</v>
      </c>
    </row>
    <row r="216" spans="1:13" ht="32.1" customHeight="1" x14ac:dyDescent="0.2">
      <c r="A216" s="12" t="str">
        <f>$C$4&amp;"-"&amp;TEXT(COUNTA($D$12:D216),"00")</f>
        <v>TC-193</v>
      </c>
      <c r="B216" s="19"/>
      <c r="C216" s="6" t="s">
        <v>586</v>
      </c>
      <c r="D216" s="6" t="s">
        <v>587</v>
      </c>
      <c r="E216" s="6" t="s">
        <v>811</v>
      </c>
      <c r="F216" s="13" t="s">
        <v>589</v>
      </c>
      <c r="G216" s="14" t="s">
        <v>30</v>
      </c>
      <c r="H216" s="13"/>
      <c r="I216" s="13"/>
      <c r="J216" s="13"/>
      <c r="K216" s="13"/>
      <c r="L216" s="13"/>
      <c r="M216" s="13" t="s">
        <v>812</v>
      </c>
    </row>
    <row r="217" spans="1:13" ht="32.1" customHeight="1" x14ac:dyDescent="0.2">
      <c r="A217" s="12" t="str">
        <f>$C$4&amp;"-"&amp;TEXT(COUNTA($D$12:D217),"00")</f>
        <v>TC-194</v>
      </c>
      <c r="B217" s="19"/>
      <c r="C217" s="6" t="s">
        <v>591</v>
      </c>
      <c r="D217" s="6" t="s">
        <v>813</v>
      </c>
      <c r="E217" s="6" t="s">
        <v>814</v>
      </c>
      <c r="F217" s="13" t="s">
        <v>594</v>
      </c>
      <c r="G217" s="14" t="s">
        <v>30</v>
      </c>
      <c r="H217" s="13"/>
      <c r="I217" s="13"/>
      <c r="J217" s="13"/>
      <c r="K217" s="13"/>
      <c r="L217" s="13"/>
      <c r="M217" s="13" t="s">
        <v>812</v>
      </c>
    </row>
    <row r="218" spans="1:13" ht="32.1" customHeight="1" x14ac:dyDescent="0.2">
      <c r="A218" s="12" t="str">
        <f>$C$4&amp;"-"&amp;TEXT(COUNTA($D$12:D218),"00")</f>
        <v>TC-195</v>
      </c>
      <c r="B218" s="20"/>
      <c r="C218" s="6" t="s">
        <v>815</v>
      </c>
      <c r="D218" s="6" t="s">
        <v>816</v>
      </c>
      <c r="E218" s="6" t="s">
        <v>608</v>
      </c>
      <c r="F218" s="13" t="s">
        <v>817</v>
      </c>
      <c r="G218" s="14" t="s">
        <v>30</v>
      </c>
      <c r="H218" s="13"/>
      <c r="I218" s="13"/>
      <c r="J218" s="13"/>
      <c r="K218" s="13"/>
      <c r="L218" s="13"/>
      <c r="M218" s="13" t="s">
        <v>818</v>
      </c>
    </row>
    <row r="219" spans="1:13" ht="32.1" customHeight="1" x14ac:dyDescent="0.2">
      <c r="A219" s="12" t="str">
        <f>$C$4&amp;"-"&amp;TEXT(COUNTA($D$12:D219),"00")</f>
        <v>TC-196</v>
      </c>
      <c r="B219" s="18" t="s">
        <v>819</v>
      </c>
      <c r="C219" s="6" t="s">
        <v>820</v>
      </c>
      <c r="D219" s="6" t="s">
        <v>821</v>
      </c>
      <c r="E219" s="6" t="s">
        <v>822</v>
      </c>
      <c r="F219" s="13"/>
      <c r="G219" s="14" t="s">
        <v>30</v>
      </c>
      <c r="H219" s="13"/>
      <c r="I219" s="13"/>
      <c r="J219" s="13"/>
      <c r="K219" s="13"/>
      <c r="L219" s="13"/>
      <c r="M219" s="13" t="s">
        <v>823</v>
      </c>
    </row>
    <row r="220" spans="1:13" ht="48" customHeight="1" x14ac:dyDescent="0.2">
      <c r="A220" s="12" t="str">
        <f>$C$4&amp;"-"&amp;TEXT(COUNTA($D$12:D220),"00")</f>
        <v>TC-197</v>
      </c>
      <c r="B220" s="19"/>
      <c r="C220" s="6" t="s">
        <v>824</v>
      </c>
      <c r="D220" s="6" t="s">
        <v>825</v>
      </c>
      <c r="E220" s="6" t="s">
        <v>826</v>
      </c>
      <c r="F220" s="13"/>
      <c r="G220" s="14" t="s">
        <v>30</v>
      </c>
      <c r="H220" s="13"/>
      <c r="I220" s="13"/>
      <c r="J220" s="13"/>
      <c r="K220" s="13"/>
      <c r="L220" s="13"/>
      <c r="M220" s="13" t="s">
        <v>827</v>
      </c>
    </row>
    <row r="221" spans="1:13" ht="48" customHeight="1" x14ac:dyDescent="0.2">
      <c r="A221" s="12" t="str">
        <f>$C$4&amp;"-"&amp;TEXT(COUNTA($D$12:D221),"00")</f>
        <v>TC-198</v>
      </c>
      <c r="B221" s="19"/>
      <c r="C221" s="6" t="s">
        <v>828</v>
      </c>
      <c r="D221" s="6" t="s">
        <v>829</v>
      </c>
      <c r="E221" s="6" t="s">
        <v>830</v>
      </c>
      <c r="F221" s="13"/>
      <c r="G221" s="14" t="s">
        <v>30</v>
      </c>
      <c r="H221" s="13"/>
      <c r="I221" s="13"/>
      <c r="J221" s="13"/>
      <c r="K221" s="13"/>
      <c r="L221" s="13"/>
      <c r="M221" s="13" t="s">
        <v>831</v>
      </c>
    </row>
    <row r="222" spans="1:13" ht="48" customHeight="1" x14ac:dyDescent="0.2">
      <c r="A222" s="12" t="str">
        <f>$C$4&amp;"-"&amp;TEXT(COUNTA($D$12:D222),"00")</f>
        <v>TC-199</v>
      </c>
      <c r="B222" s="19"/>
      <c r="C222" s="6" t="s">
        <v>832</v>
      </c>
      <c r="D222" s="6" t="s">
        <v>833</v>
      </c>
      <c r="E222" s="6" t="s">
        <v>834</v>
      </c>
      <c r="F222" s="13"/>
      <c r="G222" s="14" t="s">
        <v>30</v>
      </c>
      <c r="H222" s="13"/>
      <c r="I222" s="13"/>
      <c r="J222" s="13"/>
      <c r="K222" s="13"/>
      <c r="L222" s="13"/>
      <c r="M222" s="13" t="s">
        <v>835</v>
      </c>
    </row>
    <row r="223" spans="1:13" ht="48" customHeight="1" x14ac:dyDescent="0.2">
      <c r="A223" s="12" t="str">
        <f>$C$4&amp;"-"&amp;TEXT(COUNTA($D$12:D223),"00")</f>
        <v>TC-200</v>
      </c>
      <c r="B223" s="19"/>
      <c r="C223" s="6" t="s">
        <v>836</v>
      </c>
      <c r="D223" s="6" t="s">
        <v>837</v>
      </c>
      <c r="E223" s="6" t="s">
        <v>838</v>
      </c>
      <c r="F223" s="13"/>
      <c r="G223" s="14" t="s">
        <v>30</v>
      </c>
      <c r="H223" s="13"/>
      <c r="I223" s="13"/>
      <c r="J223" s="13"/>
      <c r="K223" s="13"/>
      <c r="L223" s="13"/>
      <c r="M223" s="13" t="s">
        <v>839</v>
      </c>
    </row>
    <row r="224" spans="1:13" ht="48" customHeight="1" x14ac:dyDescent="0.2">
      <c r="A224" s="12" t="str">
        <f>$C$4&amp;"-"&amp;TEXT(COUNTA($D$12:D224),"00")</f>
        <v>TC-201</v>
      </c>
      <c r="B224" s="20"/>
      <c r="C224" s="6" t="s">
        <v>840</v>
      </c>
      <c r="D224" s="6" t="s">
        <v>841</v>
      </c>
      <c r="E224" s="6" t="s">
        <v>842</v>
      </c>
      <c r="F224" s="13"/>
      <c r="G224" s="14" t="s">
        <v>30</v>
      </c>
      <c r="H224" s="13"/>
      <c r="I224" s="13"/>
      <c r="J224" s="13"/>
      <c r="K224" s="13"/>
      <c r="L224" s="13"/>
      <c r="M224" s="13" t="s">
        <v>843</v>
      </c>
    </row>
    <row r="225" spans="1:13" ht="32.1" customHeight="1" x14ac:dyDescent="0.2">
      <c r="A225" s="12" t="str">
        <f>$C$4&amp;"-"&amp;TEXT(COUNTA($D$12:D225),"00")</f>
        <v>TC-202</v>
      </c>
      <c r="B225" s="18" t="s">
        <v>844</v>
      </c>
      <c r="C225" s="6" t="s">
        <v>845</v>
      </c>
      <c r="D225" s="6" t="s">
        <v>846</v>
      </c>
      <c r="E225" s="6" t="s">
        <v>847</v>
      </c>
      <c r="F225" s="13"/>
      <c r="G225" s="14" t="s">
        <v>30</v>
      </c>
      <c r="H225" s="13"/>
      <c r="I225" s="13"/>
      <c r="J225" s="13"/>
      <c r="K225" s="13"/>
      <c r="L225" s="13"/>
      <c r="M225" s="13" t="s">
        <v>848</v>
      </c>
    </row>
    <row r="226" spans="1:13" ht="48" customHeight="1" x14ac:dyDescent="0.2">
      <c r="A226" s="12" t="str">
        <f>$C$4&amp;"-"&amp;TEXT(COUNTA($D$12:D226),"00")</f>
        <v>TC-203</v>
      </c>
      <c r="B226" s="19"/>
      <c r="C226" s="6" t="s">
        <v>849</v>
      </c>
      <c r="D226" s="6" t="s">
        <v>850</v>
      </c>
      <c r="E226" s="6" t="s">
        <v>851</v>
      </c>
      <c r="F226" s="13"/>
      <c r="G226" s="14" t="s">
        <v>30</v>
      </c>
      <c r="H226" s="13"/>
      <c r="I226" s="13"/>
      <c r="J226" s="13"/>
      <c r="K226" s="13"/>
      <c r="L226" s="13"/>
      <c r="M226" s="13" t="s">
        <v>852</v>
      </c>
    </row>
    <row r="227" spans="1:13" ht="32.1" customHeight="1" x14ac:dyDescent="0.2">
      <c r="A227" s="12" t="str">
        <f>$C$4&amp;"-"&amp;TEXT(COUNTA($D$12:D227),"00")</f>
        <v>TC-204</v>
      </c>
      <c r="B227" s="19"/>
      <c r="C227" s="6" t="s">
        <v>853</v>
      </c>
      <c r="D227" s="6" t="s">
        <v>854</v>
      </c>
      <c r="E227" s="6" t="s">
        <v>855</v>
      </c>
      <c r="F227" s="13"/>
      <c r="G227" s="14" t="s">
        <v>30</v>
      </c>
      <c r="H227" s="13"/>
      <c r="I227" s="13"/>
      <c r="J227" s="13"/>
      <c r="K227" s="13"/>
      <c r="L227" s="13"/>
      <c r="M227" s="13" t="s">
        <v>856</v>
      </c>
    </row>
    <row r="228" spans="1:13" ht="63.95" customHeight="1" x14ac:dyDescent="0.2">
      <c r="A228" s="12" t="str">
        <f>$C$4&amp;"-"&amp;TEXT(COUNTA($D$12:D228),"00")</f>
        <v>TC-205</v>
      </c>
      <c r="B228" s="19"/>
      <c r="C228" s="6" t="s">
        <v>857</v>
      </c>
      <c r="D228" s="6" t="s">
        <v>858</v>
      </c>
      <c r="E228" s="6" t="s">
        <v>859</v>
      </c>
      <c r="F228" s="13"/>
      <c r="G228" s="14" t="s">
        <v>30</v>
      </c>
      <c r="H228" s="13"/>
      <c r="I228" s="13"/>
      <c r="J228" s="13"/>
      <c r="K228" s="13"/>
      <c r="L228" s="13"/>
      <c r="M228" s="13" t="s">
        <v>860</v>
      </c>
    </row>
    <row r="229" spans="1:13" ht="32.1" customHeight="1" x14ac:dyDescent="0.2">
      <c r="A229" s="12" t="str">
        <f>$C$4&amp;"-"&amp;TEXT(COUNTA($D$12:D229),"00")</f>
        <v>TC-206</v>
      </c>
      <c r="B229" s="20"/>
      <c r="C229" s="6" t="s">
        <v>861</v>
      </c>
      <c r="D229" s="6" t="s">
        <v>862</v>
      </c>
      <c r="E229" s="6" t="s">
        <v>863</v>
      </c>
      <c r="F229" s="13"/>
      <c r="G229" s="14" t="s">
        <v>30</v>
      </c>
      <c r="H229" s="13"/>
      <c r="I229" s="13"/>
      <c r="J229" s="13"/>
      <c r="K229" s="13"/>
      <c r="L229" s="13"/>
      <c r="M229" s="13" t="s">
        <v>470</v>
      </c>
    </row>
    <row r="230" spans="1:13" ht="32.1" customHeight="1" x14ac:dyDescent="0.2">
      <c r="A230" s="12" t="str">
        <f>$C$4&amp;"-"&amp;TEXT(COUNTA($D$12:D230),"00")</f>
        <v>TC-207</v>
      </c>
      <c r="B230" s="18" t="s">
        <v>864</v>
      </c>
      <c r="C230" s="6" t="s">
        <v>865</v>
      </c>
      <c r="D230" s="6" t="s">
        <v>866</v>
      </c>
      <c r="E230" s="6" t="s">
        <v>867</v>
      </c>
      <c r="F230" s="13"/>
      <c r="G230" s="14" t="s">
        <v>30</v>
      </c>
      <c r="H230" s="13"/>
      <c r="I230" s="13"/>
      <c r="J230" s="13"/>
      <c r="K230" s="13"/>
      <c r="L230" s="13"/>
      <c r="M230" s="13" t="s">
        <v>868</v>
      </c>
    </row>
    <row r="231" spans="1:13" ht="32.1" customHeight="1" x14ac:dyDescent="0.2">
      <c r="A231" s="12" t="str">
        <f>$C$4&amp;"-"&amp;TEXT(COUNTA($D$12:D231),"00")</f>
        <v>TC-208</v>
      </c>
      <c r="B231" s="19"/>
      <c r="C231" s="6" t="s">
        <v>869</v>
      </c>
      <c r="D231" s="6" t="s">
        <v>870</v>
      </c>
      <c r="E231" s="6" t="s">
        <v>871</v>
      </c>
      <c r="F231" s="13"/>
      <c r="G231" s="14" t="s">
        <v>30</v>
      </c>
      <c r="H231" s="13"/>
      <c r="I231" s="13"/>
      <c r="J231" s="13"/>
      <c r="K231" s="13"/>
      <c r="L231" s="13"/>
      <c r="M231" s="13" t="s">
        <v>868</v>
      </c>
    </row>
    <row r="232" spans="1:13" ht="48" customHeight="1" x14ac:dyDescent="0.2">
      <c r="A232" s="12" t="str">
        <f>$C$4&amp;"-"&amp;TEXT(COUNTA($D$12:D232),"00")</f>
        <v>TC-209</v>
      </c>
      <c r="B232" s="19"/>
      <c r="C232" s="6" t="s">
        <v>872</v>
      </c>
      <c r="D232" s="6" t="s">
        <v>873</v>
      </c>
      <c r="E232" s="6" t="s">
        <v>874</v>
      </c>
      <c r="F232" s="13"/>
      <c r="G232" s="14" t="s">
        <v>30</v>
      </c>
      <c r="H232" s="13"/>
      <c r="I232" s="13"/>
      <c r="J232" s="13"/>
      <c r="K232" s="13"/>
      <c r="L232" s="13"/>
      <c r="M232" s="13" t="s">
        <v>852</v>
      </c>
    </row>
    <row r="233" spans="1:13" ht="32.1" customHeight="1" x14ac:dyDescent="0.2">
      <c r="A233" s="12" t="str">
        <f>$C$4&amp;"-"&amp;TEXT(COUNTA($D$12:D233),"00")</f>
        <v>TC-210</v>
      </c>
      <c r="B233" s="19"/>
      <c r="C233" s="6" t="s">
        <v>875</v>
      </c>
      <c r="D233" s="6" t="s">
        <v>876</v>
      </c>
      <c r="E233" s="6" t="s">
        <v>877</v>
      </c>
      <c r="F233" s="13"/>
      <c r="G233" s="14" t="s">
        <v>30</v>
      </c>
      <c r="H233" s="13"/>
      <c r="I233" s="13"/>
      <c r="J233" s="13"/>
      <c r="K233" s="13"/>
      <c r="L233" s="13"/>
      <c r="M233" s="13" t="s">
        <v>878</v>
      </c>
    </row>
    <row r="234" spans="1:13" ht="80.099999999999994" customHeight="1" x14ac:dyDescent="0.2">
      <c r="A234" s="12" t="str">
        <f>$C$4&amp;"-"&amp;TEXT(COUNTA($D$12:D234),"00")</f>
        <v>TC-211</v>
      </c>
      <c r="B234" s="19"/>
      <c r="C234" s="6" t="s">
        <v>879</v>
      </c>
      <c r="D234" s="6" t="s">
        <v>880</v>
      </c>
      <c r="E234" s="6" t="s">
        <v>881</v>
      </c>
      <c r="F234" s="13" t="s">
        <v>882</v>
      </c>
      <c r="G234" s="14" t="s">
        <v>30</v>
      </c>
      <c r="H234" s="13"/>
      <c r="I234" s="13"/>
      <c r="J234" s="13"/>
      <c r="K234" s="13"/>
      <c r="L234" s="13"/>
      <c r="M234" s="13" t="s">
        <v>883</v>
      </c>
    </row>
    <row r="235" spans="1:13" ht="80.099999999999994" customHeight="1" x14ac:dyDescent="0.2">
      <c r="A235" s="12" t="str">
        <f>$C$4&amp;"-"&amp;TEXT(COUNTA($D$12:D235),"00")</f>
        <v>TC-212</v>
      </c>
      <c r="B235" s="19"/>
      <c r="C235" s="6" t="s">
        <v>884</v>
      </c>
      <c r="D235" s="6" t="s">
        <v>885</v>
      </c>
      <c r="E235" s="6" t="s">
        <v>886</v>
      </c>
      <c r="F235" s="13"/>
      <c r="G235" s="14" t="s">
        <v>30</v>
      </c>
      <c r="H235" s="13"/>
      <c r="I235" s="13"/>
      <c r="J235" s="13"/>
      <c r="K235" s="13"/>
      <c r="L235" s="13"/>
      <c r="M235" s="13" t="s">
        <v>887</v>
      </c>
    </row>
    <row r="236" spans="1:13" ht="48" customHeight="1" x14ac:dyDescent="0.2">
      <c r="A236" s="12" t="str">
        <f>$C$4&amp;"-"&amp;TEXT(COUNTA($D$12:D236),"00")</f>
        <v>TC-213</v>
      </c>
      <c r="B236" s="20"/>
      <c r="C236" s="6" t="s">
        <v>888</v>
      </c>
      <c r="D236" s="6" t="s">
        <v>889</v>
      </c>
      <c r="E236" s="6" t="s">
        <v>890</v>
      </c>
      <c r="F236" s="13" t="s">
        <v>891</v>
      </c>
      <c r="G236" s="14" t="s">
        <v>30</v>
      </c>
      <c r="H236" s="13"/>
      <c r="I236" s="13"/>
      <c r="J236" s="13"/>
      <c r="K236" s="13"/>
      <c r="L236" s="13"/>
      <c r="M236" s="13" t="s">
        <v>892</v>
      </c>
    </row>
    <row r="237" spans="1:13" ht="20.100000000000001" customHeight="1" x14ac:dyDescent="0.2">
      <c r="A237" s="28" t="s">
        <v>893</v>
      </c>
      <c r="B237" s="24"/>
      <c r="C237" s="24"/>
      <c r="D237" s="24"/>
      <c r="E237" s="24"/>
      <c r="F237" s="24"/>
      <c r="G237" s="24"/>
      <c r="H237" s="24"/>
      <c r="I237" s="24"/>
      <c r="J237" s="24"/>
      <c r="K237" s="25"/>
      <c r="L237" s="13"/>
      <c r="M237" s="13"/>
    </row>
    <row r="238" spans="1:13" ht="80.099999999999994" customHeight="1" x14ac:dyDescent="0.2">
      <c r="A238" s="12" t="str">
        <f>$C$4&amp;"-"&amp;TEXT(COUNTA($D$12:D238),"00")</f>
        <v>TC-214</v>
      </c>
      <c r="B238" s="18" t="s">
        <v>894</v>
      </c>
      <c r="C238" s="6" t="s">
        <v>895</v>
      </c>
      <c r="D238" s="6" t="s">
        <v>896</v>
      </c>
      <c r="E238" s="6" t="s">
        <v>897</v>
      </c>
      <c r="F238" s="13" t="s">
        <v>898</v>
      </c>
      <c r="G238" s="14" t="s">
        <v>30</v>
      </c>
      <c r="H238" s="13"/>
      <c r="I238" s="13"/>
      <c r="J238" s="13"/>
      <c r="K238" s="13"/>
      <c r="L238" s="13"/>
      <c r="M238" s="13" t="s">
        <v>899</v>
      </c>
    </row>
    <row r="239" spans="1:13" ht="48" customHeight="1" x14ac:dyDescent="0.2">
      <c r="A239" s="12" t="str">
        <f>$C$4&amp;"-"&amp;TEXT(COUNTA($D$12:D239),"00")</f>
        <v>TC-215</v>
      </c>
      <c r="B239" s="19"/>
      <c r="C239" s="6" t="s">
        <v>900</v>
      </c>
      <c r="D239" s="6" t="s">
        <v>901</v>
      </c>
      <c r="E239" s="6" t="s">
        <v>902</v>
      </c>
      <c r="F239" s="13"/>
      <c r="G239" s="14" t="s">
        <v>30</v>
      </c>
      <c r="H239" s="13"/>
      <c r="I239" s="13"/>
      <c r="J239" s="13"/>
      <c r="K239" s="13"/>
      <c r="L239" s="13"/>
      <c r="M239" s="13" t="s">
        <v>903</v>
      </c>
    </row>
    <row r="240" spans="1:13" ht="111.95" customHeight="1" x14ac:dyDescent="0.2">
      <c r="A240" s="12" t="str">
        <f>$C$4&amp;"-"&amp;TEXT(COUNTA($D$12:D240),"00")</f>
        <v>TC-216</v>
      </c>
      <c r="B240" s="19"/>
      <c r="C240" s="6" t="s">
        <v>904</v>
      </c>
      <c r="D240" s="6" t="s">
        <v>905</v>
      </c>
      <c r="E240" s="6" t="s">
        <v>906</v>
      </c>
      <c r="F240" s="13"/>
      <c r="G240" s="14" t="s">
        <v>30</v>
      </c>
      <c r="H240" s="13"/>
      <c r="I240" s="13"/>
      <c r="J240" s="13"/>
      <c r="K240" s="13"/>
      <c r="L240" s="13"/>
      <c r="M240" s="13" t="s">
        <v>907</v>
      </c>
    </row>
    <row r="241" spans="1:13" ht="48" customHeight="1" x14ac:dyDescent="0.2">
      <c r="A241" s="12" t="str">
        <f>$C$4&amp;"-"&amp;TEXT(COUNTA($D$12:D241),"00")</f>
        <v>TC-217</v>
      </c>
      <c r="B241" s="19"/>
      <c r="C241" s="6" t="s">
        <v>908</v>
      </c>
      <c r="D241" s="6" t="s">
        <v>909</v>
      </c>
      <c r="E241" s="6" t="s">
        <v>910</v>
      </c>
      <c r="F241" s="13"/>
      <c r="G241" s="14" t="s">
        <v>30</v>
      </c>
      <c r="H241" s="13"/>
      <c r="I241" s="13"/>
      <c r="J241" s="13"/>
      <c r="K241" s="13"/>
      <c r="L241" s="13"/>
      <c r="M241" s="13" t="s">
        <v>911</v>
      </c>
    </row>
    <row r="242" spans="1:13" ht="32.1" customHeight="1" x14ac:dyDescent="0.2">
      <c r="A242" s="12" t="str">
        <f>$C$4&amp;"-"&amp;TEXT(COUNTA($D$12:D242),"00")</f>
        <v>TC-218</v>
      </c>
      <c r="B242" s="19"/>
      <c r="C242" s="6" t="s">
        <v>912</v>
      </c>
      <c r="D242" s="6" t="s">
        <v>913</v>
      </c>
      <c r="E242" s="6" t="s">
        <v>914</v>
      </c>
      <c r="F242" s="13"/>
      <c r="G242" s="14" t="s">
        <v>30</v>
      </c>
      <c r="H242" s="13"/>
      <c r="I242" s="13"/>
      <c r="J242" s="13"/>
      <c r="K242" s="13"/>
      <c r="L242" s="13"/>
      <c r="M242" s="13" t="s">
        <v>915</v>
      </c>
    </row>
    <row r="243" spans="1:13" ht="32.1" customHeight="1" x14ac:dyDescent="0.2">
      <c r="A243" s="12" t="str">
        <f>$C$4&amp;"-"&amp;TEXT(COUNTA($D$12:D243),"00")</f>
        <v>TC-219</v>
      </c>
      <c r="B243" s="19"/>
      <c r="C243" s="6" t="s">
        <v>916</v>
      </c>
      <c r="D243" s="6" t="s">
        <v>917</v>
      </c>
      <c r="E243" s="6" t="s">
        <v>918</v>
      </c>
      <c r="F243" s="13"/>
      <c r="G243" s="14" t="s">
        <v>30</v>
      </c>
      <c r="H243" s="13"/>
      <c r="I243" s="13"/>
      <c r="J243" s="13"/>
      <c r="K243" s="13"/>
      <c r="L243" s="13"/>
      <c r="M243" s="13" t="s">
        <v>919</v>
      </c>
    </row>
    <row r="244" spans="1:13" ht="63.95" customHeight="1" x14ac:dyDescent="0.2">
      <c r="A244" s="12" t="str">
        <f>$C$4&amp;"-"&amp;TEXT(COUNTA($D$12:D244),"00")</f>
        <v>TC-220</v>
      </c>
      <c r="B244" s="19"/>
      <c r="C244" s="6" t="s">
        <v>920</v>
      </c>
      <c r="D244" s="6" t="s">
        <v>921</v>
      </c>
      <c r="E244" s="6" t="s">
        <v>922</v>
      </c>
      <c r="F244" s="13"/>
      <c r="G244" s="14" t="s">
        <v>30</v>
      </c>
      <c r="H244" s="13"/>
      <c r="I244" s="13"/>
      <c r="J244" s="13"/>
      <c r="K244" s="13"/>
      <c r="L244" s="13"/>
      <c r="M244" s="13" t="s">
        <v>923</v>
      </c>
    </row>
    <row r="245" spans="1:13" ht="32.1" customHeight="1" x14ac:dyDescent="0.2">
      <c r="A245" s="12" t="str">
        <f>$C$4&amp;"-"&amp;TEXT(COUNTA($D$12:D245),"00")</f>
        <v>TC-221</v>
      </c>
      <c r="B245" s="20"/>
      <c r="C245" s="6" t="s">
        <v>924</v>
      </c>
      <c r="D245" s="6" t="s">
        <v>925</v>
      </c>
      <c r="E245" s="6" t="s">
        <v>926</v>
      </c>
      <c r="F245" s="13"/>
      <c r="G245" s="14" t="s">
        <v>30</v>
      </c>
      <c r="H245" s="13"/>
      <c r="I245" s="13"/>
      <c r="J245" s="13"/>
      <c r="K245" s="13"/>
      <c r="L245" s="13"/>
      <c r="M245" s="13" t="s">
        <v>927</v>
      </c>
    </row>
    <row r="246" spans="1:13" ht="80.099999999999994" customHeight="1" x14ac:dyDescent="0.2">
      <c r="A246" s="12" t="str">
        <f>$C$4&amp;"-"&amp;TEXT(COUNTA($D$12:D246),"00")</f>
        <v>TC-222</v>
      </c>
      <c r="B246" s="18" t="s">
        <v>928</v>
      </c>
      <c r="C246" s="6" t="s">
        <v>929</v>
      </c>
      <c r="D246" s="6" t="s">
        <v>930</v>
      </c>
      <c r="E246" s="6" t="s">
        <v>931</v>
      </c>
      <c r="F246" s="13"/>
      <c r="G246" s="14" t="s">
        <v>30</v>
      </c>
      <c r="H246" s="13"/>
      <c r="I246" s="13"/>
      <c r="J246" s="13"/>
      <c r="K246" s="13"/>
      <c r="L246" s="13"/>
      <c r="M246" s="13" t="s">
        <v>932</v>
      </c>
    </row>
    <row r="247" spans="1:13" ht="32.1" customHeight="1" x14ac:dyDescent="0.2">
      <c r="A247" s="12" t="str">
        <f>$C$4&amp;"-"&amp;TEXT(COUNTA($D$12:D247),"00")</f>
        <v>TC-223</v>
      </c>
      <c r="B247" s="20"/>
      <c r="C247" s="6" t="s">
        <v>933</v>
      </c>
      <c r="D247" s="6" t="s">
        <v>934</v>
      </c>
      <c r="E247" s="6" t="s">
        <v>935</v>
      </c>
      <c r="F247" s="13"/>
      <c r="G247" s="14" t="s">
        <v>30</v>
      </c>
      <c r="H247" s="13"/>
      <c r="I247" s="13"/>
      <c r="J247" s="13"/>
      <c r="K247" s="13"/>
      <c r="L247" s="13"/>
      <c r="M247" s="13" t="s">
        <v>936</v>
      </c>
    </row>
    <row r="248" spans="1:13" ht="63.95" customHeight="1" x14ac:dyDescent="0.2">
      <c r="A248" s="12" t="str">
        <f>$C$4&amp;"-"&amp;TEXT(COUNTA($D$12:D248),"00")</f>
        <v>TC-224</v>
      </c>
      <c r="B248" s="18" t="s">
        <v>937</v>
      </c>
      <c r="C248" s="6" t="s">
        <v>938</v>
      </c>
      <c r="D248" s="6" t="s">
        <v>939</v>
      </c>
      <c r="E248" s="6" t="s">
        <v>940</v>
      </c>
      <c r="F248" s="13"/>
      <c r="G248" s="14" t="s">
        <v>30</v>
      </c>
      <c r="H248" s="13"/>
      <c r="I248" s="13"/>
      <c r="J248" s="13"/>
      <c r="K248" s="13"/>
      <c r="L248" s="13"/>
      <c r="M248" s="13" t="s">
        <v>941</v>
      </c>
    </row>
    <row r="249" spans="1:13" ht="48" customHeight="1" x14ac:dyDescent="0.2">
      <c r="A249" s="12" t="str">
        <f>$C$4&amp;"-"&amp;TEXT(COUNTA($D$12:D249),"00")</f>
        <v>TC-225</v>
      </c>
      <c r="B249" s="19"/>
      <c r="C249" s="6" t="s">
        <v>942</v>
      </c>
      <c r="D249" s="6" t="s">
        <v>943</v>
      </c>
      <c r="E249" s="6" t="s">
        <v>944</v>
      </c>
      <c r="F249" s="13"/>
      <c r="G249" s="14" t="s">
        <v>30</v>
      </c>
      <c r="H249" s="13"/>
      <c r="I249" s="13"/>
      <c r="J249" s="13"/>
      <c r="K249" s="13"/>
      <c r="L249" s="13"/>
      <c r="M249" s="13" t="s">
        <v>945</v>
      </c>
    </row>
    <row r="250" spans="1:13" ht="48" customHeight="1" x14ac:dyDescent="0.2">
      <c r="A250" s="12" t="str">
        <f>$C$4&amp;"-"&amp;TEXT(COUNTA($D$12:D250),"00")</f>
        <v>TC-226</v>
      </c>
      <c r="B250" s="19"/>
      <c r="C250" s="6" t="s">
        <v>946</v>
      </c>
      <c r="D250" s="6" t="s">
        <v>947</v>
      </c>
      <c r="E250" s="6" t="s">
        <v>948</v>
      </c>
      <c r="F250" s="13"/>
      <c r="G250" s="14" t="s">
        <v>30</v>
      </c>
      <c r="H250" s="13"/>
      <c r="I250" s="13"/>
      <c r="J250" s="13"/>
      <c r="K250" s="13"/>
      <c r="L250" s="13"/>
      <c r="M250" s="13" t="s">
        <v>949</v>
      </c>
    </row>
    <row r="251" spans="1:13" ht="48" customHeight="1" x14ac:dyDescent="0.2">
      <c r="A251" s="12" t="str">
        <f>$C$4&amp;"-"&amp;TEXT(COUNTA($D$12:D251),"00")</f>
        <v>TC-227</v>
      </c>
      <c r="B251" s="19"/>
      <c r="C251" s="6" t="s">
        <v>950</v>
      </c>
      <c r="D251" s="6" t="s">
        <v>951</v>
      </c>
      <c r="E251" s="6" t="s">
        <v>952</v>
      </c>
      <c r="F251" s="13"/>
      <c r="G251" s="14" t="s">
        <v>30</v>
      </c>
      <c r="H251" s="13"/>
      <c r="I251" s="13"/>
      <c r="J251" s="13"/>
      <c r="K251" s="13"/>
      <c r="L251" s="13"/>
      <c r="M251" s="13" t="s">
        <v>949</v>
      </c>
    </row>
    <row r="252" spans="1:13" ht="32.1" customHeight="1" x14ac:dyDescent="0.2">
      <c r="A252" s="12" t="str">
        <f>$C$4&amp;"-"&amp;TEXT(COUNTA($D$12:D252),"00")</f>
        <v>TC-228</v>
      </c>
      <c r="B252" s="20"/>
      <c r="C252" s="6" t="s">
        <v>953</v>
      </c>
      <c r="D252" s="6" t="s">
        <v>954</v>
      </c>
      <c r="E252" s="6" t="s">
        <v>955</v>
      </c>
      <c r="F252" s="13"/>
      <c r="G252" s="14" t="s">
        <v>30</v>
      </c>
      <c r="H252" s="13"/>
      <c r="I252" s="13"/>
      <c r="J252" s="13"/>
      <c r="K252" s="13"/>
      <c r="L252" s="13"/>
      <c r="M252" s="13" t="s">
        <v>956</v>
      </c>
    </row>
    <row r="253" spans="1:13" ht="48" customHeight="1" x14ac:dyDescent="0.2">
      <c r="A253" s="12" t="str">
        <f>$C$4&amp;"-"&amp;TEXT(COUNTA($D$12:D253),"00")</f>
        <v>TC-229</v>
      </c>
      <c r="B253" s="18" t="s">
        <v>957</v>
      </c>
      <c r="C253" s="6" t="s">
        <v>958</v>
      </c>
      <c r="D253" s="6" t="s">
        <v>959</v>
      </c>
      <c r="E253" s="6" t="s">
        <v>960</v>
      </c>
      <c r="F253" s="13"/>
      <c r="G253" s="14" t="s">
        <v>30</v>
      </c>
      <c r="H253" s="13"/>
      <c r="I253" s="13"/>
      <c r="J253" s="13"/>
      <c r="K253" s="13"/>
      <c r="L253" s="13"/>
      <c r="M253" s="13" t="s">
        <v>961</v>
      </c>
    </row>
    <row r="254" spans="1:13" ht="32.1" customHeight="1" x14ac:dyDescent="0.2">
      <c r="A254" s="12" t="str">
        <f>$C$4&amp;"-"&amp;TEXT(COUNTA($D$12:D254),"00")</f>
        <v>TC-230</v>
      </c>
      <c r="B254" s="19"/>
      <c r="C254" s="6" t="s">
        <v>962</v>
      </c>
      <c r="D254" s="6" t="s">
        <v>963</v>
      </c>
      <c r="E254" s="6" t="s">
        <v>964</v>
      </c>
      <c r="F254" s="13"/>
      <c r="G254" s="14" t="s">
        <v>30</v>
      </c>
      <c r="H254" s="13"/>
      <c r="I254" s="13"/>
      <c r="J254" s="13"/>
      <c r="K254" s="13"/>
      <c r="L254" s="13"/>
      <c r="M254" s="13" t="s">
        <v>965</v>
      </c>
    </row>
    <row r="255" spans="1:13" ht="63.95" customHeight="1" x14ac:dyDescent="0.2">
      <c r="A255" s="12" t="str">
        <f>$C$4&amp;"-"&amp;TEXT(COUNTA($D$12:D255),"00")</f>
        <v>TC-231</v>
      </c>
      <c r="B255" s="19"/>
      <c r="C255" s="6" t="s">
        <v>966</v>
      </c>
      <c r="D255" s="6" t="s">
        <v>967</v>
      </c>
      <c r="E255" s="6" t="s">
        <v>968</v>
      </c>
      <c r="F255" s="13"/>
      <c r="G255" s="14" t="s">
        <v>30</v>
      </c>
      <c r="H255" s="13"/>
      <c r="I255" s="13"/>
      <c r="J255" s="13"/>
      <c r="K255" s="13"/>
      <c r="L255" s="13"/>
      <c r="M255" s="13" t="s">
        <v>969</v>
      </c>
    </row>
    <row r="256" spans="1:13" ht="48" customHeight="1" x14ac:dyDescent="0.2">
      <c r="A256" s="12" t="str">
        <f>$C$4&amp;"-"&amp;TEXT(COUNTA($D$12:D256),"00")</f>
        <v>TC-232</v>
      </c>
      <c r="B256" s="20"/>
      <c r="C256" s="6" t="s">
        <v>970</v>
      </c>
      <c r="D256" s="6" t="s">
        <v>971</v>
      </c>
      <c r="E256" s="6" t="s">
        <v>972</v>
      </c>
      <c r="F256" s="13"/>
      <c r="G256" s="14" t="s">
        <v>30</v>
      </c>
      <c r="H256" s="13"/>
      <c r="I256" s="13"/>
      <c r="J256" s="13"/>
      <c r="K256" s="13"/>
      <c r="L256" s="13"/>
      <c r="M256" s="13" t="s">
        <v>973</v>
      </c>
    </row>
    <row r="257" spans="1:13" ht="48" customHeight="1" x14ac:dyDescent="0.2">
      <c r="A257" s="12" t="str">
        <f>$C$4&amp;"-"&amp;TEXT(COUNTA($D$12:D257),"00")</f>
        <v>TC-233</v>
      </c>
      <c r="B257" s="6" t="s">
        <v>438</v>
      </c>
      <c r="C257" s="6" t="s">
        <v>974</v>
      </c>
      <c r="D257" s="6" t="s">
        <v>975</v>
      </c>
      <c r="E257" s="6" t="s">
        <v>976</v>
      </c>
      <c r="F257" s="13"/>
      <c r="G257" s="14" t="s">
        <v>30</v>
      </c>
      <c r="H257" s="13"/>
      <c r="I257" s="13"/>
      <c r="J257" s="13"/>
      <c r="K257" s="13"/>
      <c r="L257" s="13"/>
      <c r="M257" s="13" t="s">
        <v>977</v>
      </c>
    </row>
    <row r="258" spans="1:13" ht="15.75" customHeight="1" x14ac:dyDescent="0.2"/>
    <row r="259" spans="1:13" ht="15.75" customHeight="1" x14ac:dyDescent="0.2"/>
    <row r="260" spans="1:13" ht="15.75" customHeight="1" x14ac:dyDescent="0.2"/>
    <row r="261" spans="1:13" ht="15.75" customHeight="1" x14ac:dyDescent="0.2"/>
    <row r="262" spans="1:13" ht="15.75" customHeight="1" x14ac:dyDescent="0.2"/>
    <row r="263" spans="1:13" ht="15.75" customHeight="1" x14ac:dyDescent="0.2"/>
    <row r="264" spans="1:13" ht="15.75" customHeight="1" x14ac:dyDescent="0.2"/>
    <row r="265" spans="1:13" ht="15.75" customHeight="1" x14ac:dyDescent="0.2"/>
    <row r="266" spans="1:13" ht="15.75" customHeight="1" x14ac:dyDescent="0.2"/>
    <row r="267" spans="1:13" ht="15.75" customHeight="1" x14ac:dyDescent="0.2"/>
    <row r="268" spans="1:13" ht="15.75" customHeight="1" x14ac:dyDescent="0.2"/>
    <row r="269" spans="1:13" ht="15.75" customHeight="1" x14ac:dyDescent="0.2"/>
    <row r="270" spans="1:13" ht="15.75" customHeight="1" x14ac:dyDescent="0.2"/>
    <row r="271" spans="1:13" ht="15.75" customHeight="1" x14ac:dyDescent="0.2"/>
    <row r="272" spans="1:13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</sheetData>
  <mergeCells count="81">
    <mergeCell ref="A2:B2"/>
    <mergeCell ref="B201:B202"/>
    <mergeCell ref="B15:B20"/>
    <mergeCell ref="A122:K122"/>
    <mergeCell ref="B197:B200"/>
    <mergeCell ref="B172:B174"/>
    <mergeCell ref="A6:B6"/>
    <mergeCell ref="A237:K237"/>
    <mergeCell ref="B149:B156"/>
    <mergeCell ref="B238:B245"/>
    <mergeCell ref="B64:B66"/>
    <mergeCell ref="B10:B11"/>
    <mergeCell ref="B225:B229"/>
    <mergeCell ref="A1:B1"/>
    <mergeCell ref="B192:B196"/>
    <mergeCell ref="B82:B83"/>
    <mergeCell ref="B105:B106"/>
    <mergeCell ref="B219:B224"/>
    <mergeCell ref="B98:B99"/>
    <mergeCell ref="B185:B187"/>
    <mergeCell ref="A3:B3"/>
    <mergeCell ref="A21:K21"/>
    <mergeCell ref="A5:B5"/>
    <mergeCell ref="A113:K113"/>
    <mergeCell ref="A14:K14"/>
    <mergeCell ref="I10:I11"/>
    <mergeCell ref="K10:K11"/>
    <mergeCell ref="B42:B46"/>
    <mergeCell ref="B203:B208"/>
    <mergeCell ref="A8:B8"/>
    <mergeCell ref="B93:B97"/>
    <mergeCell ref="A100:K100"/>
    <mergeCell ref="B188:B191"/>
    <mergeCell ref="F10:F11"/>
    <mergeCell ref="B31:B32"/>
    <mergeCell ref="B62:B63"/>
    <mergeCell ref="B37:B41"/>
    <mergeCell ref="A132:K132"/>
    <mergeCell ref="B253:B256"/>
    <mergeCell ref="B157:B171"/>
    <mergeCell ref="B107:B112"/>
    <mergeCell ref="B101:B104"/>
    <mergeCell ref="B248:B252"/>
    <mergeCell ref="B215:B218"/>
    <mergeCell ref="B230:B236"/>
    <mergeCell ref="A12:C12"/>
    <mergeCell ref="M10:M11"/>
    <mergeCell ref="B175:B183"/>
    <mergeCell ref="A61:K61"/>
    <mergeCell ref="A10:A11"/>
    <mergeCell ref="L10:L11"/>
    <mergeCell ref="A7:B7"/>
    <mergeCell ref="C1:M1"/>
    <mergeCell ref="B78:B79"/>
    <mergeCell ref="B85:B89"/>
    <mergeCell ref="B246:B247"/>
    <mergeCell ref="B123:B131"/>
    <mergeCell ref="B53:B56"/>
    <mergeCell ref="B80:B81"/>
    <mergeCell ref="B47:B51"/>
    <mergeCell ref="A33:K33"/>
    <mergeCell ref="B114:B115"/>
    <mergeCell ref="D10:D11"/>
    <mergeCell ref="B57:B59"/>
    <mergeCell ref="B25:B26"/>
    <mergeCell ref="B68:B77"/>
    <mergeCell ref="A9:B9"/>
    <mergeCell ref="B209:B214"/>
    <mergeCell ref="C10:C11"/>
    <mergeCell ref="E10:E11"/>
    <mergeCell ref="G10:G11"/>
    <mergeCell ref="B29:B30"/>
    <mergeCell ref="A121:M121"/>
    <mergeCell ref="B133:B148"/>
    <mergeCell ref="B23:B24"/>
    <mergeCell ref="A13:M13"/>
    <mergeCell ref="H10:H11"/>
    <mergeCell ref="J10:J11"/>
    <mergeCell ref="B27:B28"/>
    <mergeCell ref="B90:B91"/>
    <mergeCell ref="A120:C120"/>
  </mergeCells>
  <conditionalFormatting sqref="K101 K136:K141 K162:K167 K177">
    <cfRule type="containsText" dxfId="1" priority="1" operator="containsText" text="P">
      <formula>NOT(ISERROR(SEARCH(("P"),(K101))))</formula>
    </cfRule>
    <cfRule type="containsText" dxfId="0" priority="2" operator="containsText" text="F">
      <formula>NOT(ISERROR(SEARCH(("F"),(K101))))</formula>
    </cfRule>
  </conditionalFormatting>
  <dataValidations count="1">
    <dataValidation type="list" allowBlank="1" sqref="K15:K257" xr:uid="{00000000-0002-0000-0000-000000000000}">
      <formula1>"Pass,Fail,Pending,N/A"</formula1>
    </dataValidation>
  </dataValidations>
  <pageMargins left="0.75" right="0.75" top="1" bottom="1" header="0.5" footer="0.5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7"/>
  <sheetViews>
    <sheetView workbookViewId="0"/>
  </sheetViews>
  <sheetFormatPr defaultRowHeight="12.75" x14ac:dyDescent="0.2"/>
  <cols>
    <col min="1" max="1" width="34" customWidth="1"/>
    <col min="2" max="4" width="22" customWidth="1"/>
  </cols>
  <sheetData>
    <row r="1" spans="1:4" ht="16.5" x14ac:dyDescent="0.25">
      <c r="A1" s="15" t="s">
        <v>978</v>
      </c>
    </row>
    <row r="3" spans="1:4" ht="45" customHeight="1" x14ac:dyDescent="0.2">
      <c r="A3" s="16" t="s">
        <v>979</v>
      </c>
      <c r="B3" s="16" t="s">
        <v>980</v>
      </c>
      <c r="C3" s="16" t="s">
        <v>981</v>
      </c>
      <c r="D3" s="16" t="s">
        <v>982</v>
      </c>
    </row>
    <row r="4" spans="1:4" ht="32.1" customHeight="1" x14ac:dyDescent="0.2">
      <c r="A4" s="17" t="s">
        <v>983</v>
      </c>
      <c r="B4" s="17" t="s">
        <v>984</v>
      </c>
      <c r="C4" s="17" t="s">
        <v>985</v>
      </c>
      <c r="D4" s="17" t="s">
        <v>984</v>
      </c>
    </row>
    <row r="5" spans="1:4" ht="32.1" customHeight="1" x14ac:dyDescent="0.2">
      <c r="A5" s="17" t="s">
        <v>986</v>
      </c>
      <c r="B5" s="17" t="s">
        <v>985</v>
      </c>
      <c r="C5" s="17" t="s">
        <v>987</v>
      </c>
      <c r="D5" s="17" t="s">
        <v>984</v>
      </c>
    </row>
    <row r="6" spans="1:4" ht="32.1" customHeight="1" x14ac:dyDescent="0.2">
      <c r="A6" s="17" t="s">
        <v>180</v>
      </c>
      <c r="B6" s="17" t="s">
        <v>988</v>
      </c>
      <c r="C6" s="17" t="s">
        <v>989</v>
      </c>
      <c r="D6" s="17" t="s">
        <v>990</v>
      </c>
    </row>
    <row r="7" spans="1:4" ht="32.1" customHeight="1" x14ac:dyDescent="0.2">
      <c r="A7" s="17" t="s">
        <v>198</v>
      </c>
      <c r="B7" s="17" t="s">
        <v>988</v>
      </c>
      <c r="C7" s="17" t="s">
        <v>989</v>
      </c>
      <c r="D7" s="17" t="s">
        <v>990</v>
      </c>
    </row>
    <row r="10" spans="1:4" ht="16.5" x14ac:dyDescent="0.25">
      <c r="A10" s="15" t="s">
        <v>991</v>
      </c>
    </row>
    <row r="12" spans="1:4" ht="45" customHeight="1" x14ac:dyDescent="0.2">
      <c r="A12" s="16" t="s">
        <v>979</v>
      </c>
      <c r="B12" s="16" t="s">
        <v>992</v>
      </c>
      <c r="C12" s="16" t="s">
        <v>993</v>
      </c>
    </row>
    <row r="13" spans="1:4" ht="32.1" customHeight="1" x14ac:dyDescent="0.2">
      <c r="A13" s="17" t="s">
        <v>994</v>
      </c>
      <c r="B13" s="17" t="s">
        <v>995</v>
      </c>
      <c r="C13" s="17" t="s">
        <v>989</v>
      </c>
    </row>
    <row r="14" spans="1:4" ht="32.1" customHeight="1" x14ac:dyDescent="0.2">
      <c r="A14" s="17" t="s">
        <v>996</v>
      </c>
      <c r="B14" s="17" t="s">
        <v>997</v>
      </c>
      <c r="C14" s="17" t="s">
        <v>998</v>
      </c>
    </row>
    <row r="15" spans="1:4" ht="32.1" customHeight="1" x14ac:dyDescent="0.2">
      <c r="A15" s="17" t="s">
        <v>999</v>
      </c>
      <c r="B15" s="17" t="s">
        <v>997</v>
      </c>
      <c r="C15" s="17" t="s">
        <v>1000</v>
      </c>
    </row>
    <row r="16" spans="1:4" ht="32.1" customHeight="1" x14ac:dyDescent="0.2">
      <c r="A16" s="17" t="s">
        <v>1001</v>
      </c>
      <c r="B16" s="17" t="s">
        <v>1002</v>
      </c>
      <c r="C16" s="17" t="s">
        <v>1003</v>
      </c>
    </row>
    <row r="19" spans="1:4" ht="16.5" x14ac:dyDescent="0.25">
      <c r="A19" s="15" t="s">
        <v>1004</v>
      </c>
    </row>
    <row r="21" spans="1:4" ht="45" customHeight="1" x14ac:dyDescent="0.2">
      <c r="A21" s="16" t="s">
        <v>1005</v>
      </c>
      <c r="B21" s="16" t="s">
        <v>1006</v>
      </c>
      <c r="C21" s="16" t="s">
        <v>1007</v>
      </c>
      <c r="D21" s="16" t="s">
        <v>1008</v>
      </c>
    </row>
    <row r="22" spans="1:4" ht="32.1" customHeight="1" x14ac:dyDescent="0.2">
      <c r="A22" s="17" t="s">
        <v>1009</v>
      </c>
      <c r="B22" s="17" t="s">
        <v>1010</v>
      </c>
      <c r="C22" s="17" t="s">
        <v>1011</v>
      </c>
      <c r="D22" s="17" t="s">
        <v>1012</v>
      </c>
    </row>
    <row r="23" spans="1:4" ht="32.1" customHeight="1" x14ac:dyDescent="0.2">
      <c r="A23" s="17" t="s">
        <v>1009</v>
      </c>
      <c r="B23" s="17" t="s">
        <v>1010</v>
      </c>
      <c r="C23" s="17" t="s">
        <v>1013</v>
      </c>
      <c r="D23" s="17" t="s">
        <v>1014</v>
      </c>
    </row>
    <row r="24" spans="1:4" ht="32.1" customHeight="1" x14ac:dyDescent="0.2">
      <c r="A24" s="17" t="s">
        <v>1015</v>
      </c>
      <c r="B24" s="17" t="s">
        <v>1016</v>
      </c>
      <c r="C24" s="17" t="s">
        <v>1011</v>
      </c>
      <c r="D24" s="17" t="s">
        <v>1017</v>
      </c>
    </row>
    <row r="25" spans="1:4" ht="32.1" customHeight="1" x14ac:dyDescent="0.2">
      <c r="A25" s="17" t="s">
        <v>1015</v>
      </c>
      <c r="B25" s="17" t="s">
        <v>1016</v>
      </c>
      <c r="C25" s="17" t="s">
        <v>1013</v>
      </c>
      <c r="D25" s="17" t="s">
        <v>1014</v>
      </c>
    </row>
    <row r="26" spans="1:4" ht="32.1" customHeight="1" x14ac:dyDescent="0.2">
      <c r="A26" s="17" t="s">
        <v>1015</v>
      </c>
      <c r="B26" s="17" t="s">
        <v>1018</v>
      </c>
      <c r="C26" s="17" t="s">
        <v>1010</v>
      </c>
      <c r="D26" s="17" t="s">
        <v>1014</v>
      </c>
    </row>
    <row r="29" spans="1:4" ht="16.5" x14ac:dyDescent="0.25">
      <c r="A29" s="15" t="s">
        <v>1019</v>
      </c>
    </row>
    <row r="31" spans="1:4" ht="45" customHeight="1" x14ac:dyDescent="0.2">
      <c r="A31" s="16" t="s">
        <v>1020</v>
      </c>
      <c r="B31" s="16" t="s">
        <v>1021</v>
      </c>
      <c r="C31" s="16" t="s">
        <v>1022</v>
      </c>
      <c r="D31" s="16" t="s">
        <v>1008</v>
      </c>
    </row>
    <row r="32" spans="1:4" ht="32.1" customHeight="1" x14ac:dyDescent="0.2">
      <c r="A32" s="17" t="s">
        <v>618</v>
      </c>
      <c r="B32" s="17" t="s">
        <v>623</v>
      </c>
      <c r="C32" s="17" t="s">
        <v>1023</v>
      </c>
      <c r="D32" s="17" t="s">
        <v>1024</v>
      </c>
    </row>
    <row r="33" spans="1:4" ht="32.1" customHeight="1" x14ac:dyDescent="0.2">
      <c r="A33" s="17" t="s">
        <v>1025</v>
      </c>
      <c r="B33" s="17" t="s">
        <v>628</v>
      </c>
      <c r="C33" s="17" t="s">
        <v>1026</v>
      </c>
      <c r="D33" s="17" t="s">
        <v>1024</v>
      </c>
    </row>
    <row r="34" spans="1:4" ht="32.1" customHeight="1" x14ac:dyDescent="0.2">
      <c r="A34" s="17" t="s">
        <v>1027</v>
      </c>
      <c r="B34" s="17" t="s">
        <v>632</v>
      </c>
      <c r="C34" s="17" t="s">
        <v>1028</v>
      </c>
      <c r="D34" s="17" t="s">
        <v>1024</v>
      </c>
    </row>
    <row r="35" spans="1:4" ht="32.1" customHeight="1" x14ac:dyDescent="0.2">
      <c r="A35" s="17" t="s">
        <v>623</v>
      </c>
      <c r="B35" s="17" t="s">
        <v>636</v>
      </c>
      <c r="C35" s="17" t="s">
        <v>1029</v>
      </c>
      <c r="D35" s="17" t="s">
        <v>1030</v>
      </c>
    </row>
    <row r="38" spans="1:4" ht="16.5" x14ac:dyDescent="0.25">
      <c r="A38" s="15" t="s">
        <v>1031</v>
      </c>
    </row>
    <row r="40" spans="1:4" ht="45" customHeight="1" x14ac:dyDescent="0.2">
      <c r="A40" s="16" t="s">
        <v>1032</v>
      </c>
      <c r="B40" s="16" t="s">
        <v>1033</v>
      </c>
      <c r="C40" s="16" t="s">
        <v>1034</v>
      </c>
      <c r="D40" s="16" t="s">
        <v>1035</v>
      </c>
    </row>
    <row r="41" spans="1:4" ht="32.1" customHeight="1" x14ac:dyDescent="0.2">
      <c r="A41" s="17" t="s">
        <v>1036</v>
      </c>
      <c r="B41" s="17" t="s">
        <v>1037</v>
      </c>
      <c r="C41" s="17" t="s">
        <v>1038</v>
      </c>
      <c r="D41" s="17" t="s">
        <v>1039</v>
      </c>
    </row>
    <row r="42" spans="1:4" ht="32.1" customHeight="1" x14ac:dyDescent="0.2">
      <c r="A42" s="17" t="s">
        <v>1040</v>
      </c>
      <c r="B42" s="17" t="s">
        <v>1041</v>
      </c>
      <c r="C42" s="17" t="s">
        <v>1042</v>
      </c>
      <c r="D42" s="17" t="s">
        <v>1043</v>
      </c>
    </row>
    <row r="43" spans="1:4" ht="32.1" customHeight="1" x14ac:dyDescent="0.2">
      <c r="A43" s="17" t="s">
        <v>1044</v>
      </c>
      <c r="B43" s="17" t="s">
        <v>1045</v>
      </c>
      <c r="C43" s="17" t="s">
        <v>1038</v>
      </c>
      <c r="D43" s="17" t="s">
        <v>1039</v>
      </c>
    </row>
    <row r="44" spans="1:4" ht="32.1" customHeight="1" x14ac:dyDescent="0.2">
      <c r="A44" s="17" t="s">
        <v>1046</v>
      </c>
      <c r="B44" s="17" t="s">
        <v>1047</v>
      </c>
      <c r="C44" s="17" t="s">
        <v>1048</v>
      </c>
      <c r="D44" s="17" t="s">
        <v>1049</v>
      </c>
    </row>
    <row r="45" spans="1:4" ht="32.1" customHeight="1" x14ac:dyDescent="0.2">
      <c r="A45" s="17" t="s">
        <v>1050</v>
      </c>
      <c r="B45" s="17" t="s">
        <v>1047</v>
      </c>
      <c r="C45" s="17" t="s">
        <v>1051</v>
      </c>
      <c r="D45" s="17" t="s">
        <v>1052</v>
      </c>
    </row>
    <row r="46" spans="1:4" ht="32.1" customHeight="1" x14ac:dyDescent="0.2">
      <c r="A46" s="17" t="s">
        <v>1053</v>
      </c>
      <c r="B46" s="17" t="s">
        <v>1054</v>
      </c>
      <c r="C46" s="17" t="s">
        <v>1055</v>
      </c>
      <c r="D46" s="17" t="s">
        <v>1056</v>
      </c>
    </row>
    <row r="47" spans="1:4" ht="32.1" customHeight="1" x14ac:dyDescent="0.2">
      <c r="A47" s="17" t="s">
        <v>1057</v>
      </c>
      <c r="B47" s="17" t="s">
        <v>1058</v>
      </c>
      <c r="C47" s="17" t="s">
        <v>1059</v>
      </c>
      <c r="D47" s="17" t="s">
        <v>1060</v>
      </c>
    </row>
    <row r="48" spans="1:4" ht="32.1" customHeight="1" x14ac:dyDescent="0.2">
      <c r="A48" s="17" t="s">
        <v>1061</v>
      </c>
      <c r="B48" s="17" t="s">
        <v>1062</v>
      </c>
      <c r="C48" s="17" t="s">
        <v>1063</v>
      </c>
      <c r="D48" s="17" t="s">
        <v>1064</v>
      </c>
    </row>
    <row r="49" spans="1:4" ht="32.1" customHeight="1" x14ac:dyDescent="0.2">
      <c r="A49" s="17" t="s">
        <v>1065</v>
      </c>
      <c r="B49" s="17" t="s">
        <v>1066</v>
      </c>
      <c r="C49" s="17" t="s">
        <v>1067</v>
      </c>
      <c r="D49" s="17" t="s">
        <v>1068</v>
      </c>
    </row>
    <row r="50" spans="1:4" ht="32.1" customHeight="1" x14ac:dyDescent="0.2">
      <c r="A50" s="17" t="s">
        <v>1069</v>
      </c>
      <c r="B50" s="17" t="s">
        <v>1070</v>
      </c>
      <c r="C50" s="17" t="s">
        <v>1071</v>
      </c>
      <c r="D50" s="17" t="s">
        <v>1072</v>
      </c>
    </row>
    <row r="51" spans="1:4" ht="32.1" customHeight="1" x14ac:dyDescent="0.2">
      <c r="A51" s="17" t="s">
        <v>1073</v>
      </c>
      <c r="B51" s="17" t="s">
        <v>987</v>
      </c>
      <c r="C51" s="17" t="s">
        <v>589</v>
      </c>
      <c r="D51" s="17" t="s">
        <v>1074</v>
      </c>
    </row>
    <row r="54" spans="1:4" ht="16.5" x14ac:dyDescent="0.25">
      <c r="A54" s="15" t="s">
        <v>1075</v>
      </c>
    </row>
    <row r="56" spans="1:4" ht="45" customHeight="1" x14ac:dyDescent="0.2">
      <c r="A56" s="16" t="s">
        <v>1076</v>
      </c>
      <c r="B56" s="16" t="s">
        <v>1077</v>
      </c>
      <c r="C56" s="16" t="s">
        <v>1078</v>
      </c>
      <c r="D56" s="16" t="s">
        <v>1079</v>
      </c>
    </row>
    <row r="57" spans="1:4" ht="32.1" customHeight="1" x14ac:dyDescent="0.2">
      <c r="A57" s="17" t="s">
        <v>1080</v>
      </c>
      <c r="B57" s="17" t="s">
        <v>1081</v>
      </c>
      <c r="C57" s="17" t="s">
        <v>1082</v>
      </c>
      <c r="D57" s="17" t="s">
        <v>1083</v>
      </c>
    </row>
    <row r="58" spans="1:4" ht="32.1" customHeight="1" x14ac:dyDescent="0.2">
      <c r="A58" s="17" t="s">
        <v>1084</v>
      </c>
      <c r="B58" s="17" t="s">
        <v>1085</v>
      </c>
      <c r="C58" s="17" t="s">
        <v>1086</v>
      </c>
      <c r="D58" s="17" t="s">
        <v>1087</v>
      </c>
    </row>
    <row r="59" spans="1:4" ht="32.1" customHeight="1" x14ac:dyDescent="0.2">
      <c r="A59" s="17" t="s">
        <v>1084</v>
      </c>
      <c r="B59" s="17" t="s">
        <v>1088</v>
      </c>
      <c r="C59" s="17" t="s">
        <v>1089</v>
      </c>
      <c r="D59" s="17" t="s">
        <v>1090</v>
      </c>
    </row>
    <row r="60" spans="1:4" ht="32.1" customHeight="1" x14ac:dyDescent="0.2">
      <c r="A60" s="17" t="s">
        <v>1082</v>
      </c>
      <c r="B60" s="17" t="s">
        <v>1091</v>
      </c>
      <c r="C60" s="17" t="s">
        <v>1092</v>
      </c>
      <c r="D60" s="17" t="s">
        <v>1093</v>
      </c>
    </row>
    <row r="61" spans="1:4" ht="32.1" customHeight="1" x14ac:dyDescent="0.2">
      <c r="A61" s="17" t="s">
        <v>1092</v>
      </c>
      <c r="B61" s="17" t="s">
        <v>1094</v>
      </c>
      <c r="C61" s="17" t="s">
        <v>1095</v>
      </c>
      <c r="D61" s="17" t="s">
        <v>1096</v>
      </c>
    </row>
    <row r="62" spans="1:4" ht="32.1" customHeight="1" x14ac:dyDescent="0.2">
      <c r="A62" s="17" t="s">
        <v>1095</v>
      </c>
      <c r="B62" s="17" t="s">
        <v>1097</v>
      </c>
      <c r="C62" s="17" t="s">
        <v>1098</v>
      </c>
      <c r="D62" s="17" t="s">
        <v>1099</v>
      </c>
    </row>
    <row r="63" spans="1:4" ht="32.1" customHeight="1" x14ac:dyDescent="0.2">
      <c r="A63" s="17" t="s">
        <v>1100</v>
      </c>
      <c r="B63" s="17" t="s">
        <v>1101</v>
      </c>
      <c r="C63" s="17" t="s">
        <v>1102</v>
      </c>
      <c r="D63" s="17" t="s">
        <v>1103</v>
      </c>
    </row>
    <row r="64" spans="1:4" ht="32.1" customHeight="1" x14ac:dyDescent="0.2">
      <c r="A64" s="17" t="s">
        <v>1095</v>
      </c>
      <c r="B64" s="17" t="s">
        <v>1104</v>
      </c>
      <c r="C64" s="17" t="s">
        <v>1105</v>
      </c>
      <c r="D64" s="17" t="s">
        <v>1106</v>
      </c>
    </row>
    <row r="65" spans="1:4" ht="32.1" customHeight="1" x14ac:dyDescent="0.2">
      <c r="A65" s="17" t="s">
        <v>1107</v>
      </c>
      <c r="B65" s="17" t="s">
        <v>1108</v>
      </c>
      <c r="C65" s="17" t="s">
        <v>1109</v>
      </c>
      <c r="D65" s="17" t="s">
        <v>1110</v>
      </c>
    </row>
    <row r="66" spans="1:4" ht="32.1" customHeight="1" x14ac:dyDescent="0.2">
      <c r="A66" s="17" t="s">
        <v>1111</v>
      </c>
      <c r="B66" s="17" t="s">
        <v>1112</v>
      </c>
      <c r="C66" s="17" t="s">
        <v>1113</v>
      </c>
      <c r="D66" s="17" t="s">
        <v>1114</v>
      </c>
    </row>
    <row r="67" spans="1:4" ht="32.1" customHeight="1" x14ac:dyDescent="0.2">
      <c r="A67" s="17" t="s">
        <v>1115</v>
      </c>
      <c r="B67" s="17" t="s">
        <v>1116</v>
      </c>
      <c r="C67" s="17" t="s">
        <v>1117</v>
      </c>
      <c r="D67" s="17" t="s">
        <v>1114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Quanlygoicuoc</vt:lpstr>
      <vt:lpstr>Kỹ thuật thiết kế 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Quân Mẫn</cp:lastModifiedBy>
  <dcterms:created xsi:type="dcterms:W3CDTF">2026-09-24T04:29:47Z</dcterms:created>
  <dcterms:modified xsi:type="dcterms:W3CDTF">2026-09-24T16:21:38Z</dcterms:modified>
</cp:coreProperties>
</file>