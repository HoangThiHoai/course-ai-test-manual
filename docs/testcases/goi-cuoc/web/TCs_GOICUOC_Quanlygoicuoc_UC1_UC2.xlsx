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Quanlygoicuoc" sheetId="1" state="visible" r:id="rId1"/>
    <sheet xmlns:r="http://schemas.openxmlformats.org/officeDocument/2006/relationships" name="Kỹ thuật thiết kế T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/m/yyyy"/>
    <numFmt numFmtId="165" formatCode="dd/mm/yyyy"/>
    <numFmt numFmtId="166" formatCode="yyyy.m"/>
    <numFmt numFmtId="167" formatCode="d.m.yyyy"/>
  </numFmts>
  <fonts count="76">
    <font>
      <name val="Arial"/>
      <color rgb="FF000000"/>
      <sz val="10"/>
      <scheme val="minor"/>
    </font>
    <font>
      <name val="Arial"/>
      <b val="1"/>
      <color theme="1"/>
    </font>
    <font>
      <name val="Times New Roman"/>
      <b val="1"/>
      <color rgb="FFFF0000"/>
      <sz val="12"/>
    </font>
    <font/>
    <font>
      <name val="Arial"/>
      <color theme="1"/>
    </font>
    <font>
      <name val="Arial"/>
      <color theme="1"/>
      <sz val="10"/>
    </font>
    <font>
      <name val="Times New Roman"/>
      <color theme="1"/>
      <sz val="12"/>
    </font>
    <font>
      <name val="Times New Roman"/>
      <b val="1"/>
      <color rgb="FF000000"/>
      <sz val="12"/>
    </font>
    <font>
      <name val="Times New Roman"/>
      <b val="1"/>
      <color theme="1"/>
      <sz val="12"/>
    </font>
    <font>
      <name val="Times New Roman"/>
      <color rgb="FF000000"/>
      <sz val="12"/>
    </font>
    <font>
      <name val="Arial"/>
      <color rgb="FF0000FF"/>
      <u val="single"/>
    </font>
    <font>
      <color rgb="FF0000FF"/>
      <u val="single"/>
    </font>
    <font>
      <name val="Times New Roman"/>
      <color rgb="FF0000FF"/>
      <sz val="12"/>
      <u val="single"/>
    </font>
    <font>
      <name val="Times New Roman"/>
      <color rgb="FF000000"/>
      <sz val="12"/>
      <u val="single"/>
    </font>
    <font>
      <name val="Arial"/>
      <color theme="1"/>
      <scheme val="minor"/>
    </font>
    <font>
      <name val="Times New Roman"/>
      <color rgb="FF000000"/>
      <sz val="12"/>
      <u val="single"/>
    </font>
    <font>
      <color rgb="FF0000FF"/>
      <u val="single"/>
    </font>
    <font>
      <color rgb="FF0000FF"/>
      <u val="single"/>
    </font>
    <font>
      <name val="Times New Roman"/>
      <color rgb="FF0000FF"/>
      <sz val="12"/>
      <u val="single"/>
    </font>
    <font>
      <name val="Times New Roman"/>
      <color rgb="FFFF0000"/>
      <sz val="12"/>
    </font>
    <font>
      <name val="Times New Roman"/>
      <color rgb="FF980000"/>
      <sz val="12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Google Sans"/>
      <color theme="1"/>
      <sz val="9"/>
    </font>
    <font>
      <name val="Times New Roman"/>
      <i val="1"/>
      <color rgb="FF000000"/>
      <sz val="12"/>
    </font>
    <font>
      <name val="Times New Roman"/>
      <color theme="1"/>
      <sz val="12"/>
      <u val="single"/>
    </font>
    <font>
      <name val="Times New Roman"/>
      <color rgb="FF0A0A0A"/>
      <sz val="12"/>
    </font>
    <font>
      <name val="'Times New Roman'"/>
      <color rgb="FF000000"/>
      <sz val="12"/>
    </font>
    <font>
      <name val="Times New Roman"/>
      <i val="1"/>
      <color theme="1"/>
      <sz val="12"/>
    </font>
    <font>
      <name val="Times New Roman"/>
      <color theme="1"/>
      <sz val="12"/>
      <u val="single"/>
    </font>
    <font>
      <name val="Times New Roman"/>
      <color theme="1"/>
      <sz val="12"/>
      <u val="single"/>
    </font>
    <font>
      <name val="Times New Roman"/>
      <color rgb="FF1155CC"/>
      <sz val="12"/>
      <u val="single"/>
    </font>
    <font>
      <name val="Times New Roman"/>
      <color theme="1"/>
      <sz val="11"/>
    </font>
    <font>
      <name val="Times New Roman"/>
      <color theme="1"/>
    </font>
    <font>
      <name val="Times New Roman"/>
      <color rgb="FF0000FF"/>
      <sz val="12"/>
    </font>
    <font>
      <name val="Times New Roman"/>
      <b val="1"/>
      <i val="1"/>
      <color rgb="FF000000"/>
      <sz val="12"/>
      <u val="single"/>
    </font>
    <font>
      <name val="'Times New Roman'"/>
      <b val="1"/>
      <i val="1"/>
      <color rgb="FF000000"/>
      <sz val="11"/>
      <u val="single"/>
    </font>
    <font>
      <name val="Times New Roman"/>
      <color rgb="FF0000FF"/>
      <sz val="12"/>
      <u val="single"/>
    </font>
    <font>
      <name val="Times New Roman"/>
      <color theme="1"/>
      <sz val="12"/>
      <u val="single"/>
    </font>
    <font>
      <name val="-apple-system"/>
      <color rgb="FF172B4D"/>
      <sz val="11"/>
      <u val="single"/>
    </font>
    <font>
      <name val="Arial"/>
      <color theme="1"/>
      <sz val="12"/>
    </font>
    <font>
      <name val="Times New Roman"/>
      <strike val="1"/>
      <color theme="1"/>
      <sz val="12"/>
    </font>
    <font>
      <name val="Times New Roman"/>
      <b val="1"/>
      <color rgb="FF0000FF"/>
      <sz val="12"/>
    </font>
    <font>
      <name val="Times New Roman"/>
      <color theme="1"/>
      <sz val="12"/>
      <u val="single"/>
    </font>
    <font>
      <name val="Arial"/>
      <color rgb="FF0000FF"/>
    </font>
    <font>
      <name val="Times New Roman"/>
      <b val="1"/>
      <i val="1"/>
      <color theme="1"/>
      <sz val="12"/>
    </font>
    <font>
      <name val="Times New Roman"/>
      <color rgb="FF0000FF"/>
      <sz val="12"/>
      <u val="single"/>
    </font>
    <font>
      <name val="Arial"/>
      <strike val="1"/>
      <color theme="1"/>
      <sz val="12"/>
    </font>
    <font>
      <name val="Times New Roman"/>
      <color theme="1"/>
      <sz val="12"/>
      <u val="single"/>
    </font>
    <font>
      <name val="Times New Roman"/>
      <b val="1"/>
      <i val="1"/>
      <color rgb="FF000000"/>
      <sz val="12"/>
    </font>
    <font>
      <name val="'Times New Roman'"/>
      <i val="1"/>
      <color rgb="FF000000"/>
      <sz val="12"/>
    </font>
    <font>
      <name val="'Times New Roman'"/>
      <color theme="1"/>
      <sz val="12"/>
      <u val="single"/>
    </font>
    <font>
      <name val="'Times New Roman'"/>
      <color rgb="FF1155CC"/>
      <sz val="12"/>
      <u val="single"/>
    </font>
    <font>
      <name val="Times New Roman"/>
      <color rgb="FF1155CC"/>
      <sz val="12"/>
      <u val="single"/>
    </font>
    <font>
      <name val="Times New Roman"/>
      <color rgb="FF1F1F1F"/>
      <sz val="12"/>
    </font>
    <font>
      <name val="Times New Roman"/>
      <color rgb="FF000000"/>
      <sz val="12"/>
      <u val="single"/>
    </font>
    <font>
      <color rgb="FF0000FF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strike val="1"/>
      <color rgb="FF000000"/>
      <sz val="12"/>
    </font>
    <font>
      <name val="Times New Roman"/>
      <color rgb="FF000000"/>
      <sz val="12"/>
      <u val="single"/>
    </font>
    <font>
      <name val="Times New Roman"/>
      <color rgb="FF0000FF"/>
      <sz val="12"/>
      <u val="single"/>
    </font>
    <font>
      <name val="Times New Roman"/>
      <color rgb="FF0000FF"/>
      <sz val="12"/>
      <u val="single"/>
    </font>
    <font>
      <name val="Times New Roman"/>
      <color theme="1"/>
      <sz val="12"/>
      <u val="single"/>
    </font>
    <font>
      <name val="Times New Roman"/>
      <color rgb="FF0000FF"/>
      <sz val="12"/>
      <u val="single"/>
    </font>
    <font>
      <name val="Times New Roman"/>
      <color theme="1"/>
      <sz val="12"/>
      <u val="single"/>
    </font>
    <font>
      <name val="Arial"/>
      <color rgb="FF172B4D"/>
      <sz val="11"/>
      <u val="single"/>
    </font>
    <font>
      <name val="Times New Roman"/>
      <color rgb="FF7F6000"/>
      <sz val="12"/>
    </font>
    <font>
      <name val="Times New Roman"/>
      <color theme="1"/>
      <sz val="12"/>
      <u val="single"/>
    </font>
    <font>
      <name val="Times New Roman"/>
      <color rgb="FF1E3A8A"/>
      <sz val="12"/>
    </font>
    <font>
      <name val="Times New Roman"/>
      <b val="1"/>
      <color rgb="FF92400E"/>
      <sz val="12"/>
    </font>
    <font>
      <name val="-apple-system"/>
      <color rgb="FF172B4D"/>
      <sz val="11"/>
    </font>
    <font>
      <name val="Times New Roman"/>
      <b val="1"/>
      <sz val="13"/>
    </font>
    <font>
      <name val="Times New Roman"/>
      <b val="1"/>
      <sz val="12"/>
    </font>
    <font>
      <name val="Times New Roman"/>
      <sz val="12"/>
    </font>
  </fonts>
  <fills count="2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CCFF"/>
        <bgColor rgb="FF00CCFF"/>
      </patternFill>
    </fill>
    <fill>
      <patternFill patternType="solid">
        <fgColor rgb="FFCCFFCC"/>
        <bgColor rgb="FFCCFFCC"/>
      </patternFill>
    </fill>
    <fill>
      <patternFill patternType="solid">
        <fgColor rgb="FFD8D8D8"/>
        <bgColor rgb="FFD8D8D8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theme="7"/>
        <bgColor theme="7"/>
      </patternFill>
    </fill>
    <fill>
      <patternFill patternType="solid">
        <fgColor rgb="FF3D85C6"/>
        <bgColor rgb="FF3D85C6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B7E1CD"/>
        <bgColor rgb="FFB7E1CD"/>
      </patternFill>
    </fill>
    <fill>
      <patternFill patternType="solid">
        <fgColor rgb="FF4285F4"/>
        <bgColor rgb="FF4285F4"/>
      </patternFill>
    </fill>
    <fill>
      <patternFill patternType="solid">
        <fgColor rgb="FFD9D9D9"/>
        <bgColor rgb="FFD9D9D9"/>
      </patternFill>
    </fill>
    <fill>
      <patternFill patternType="solid">
        <fgColor rgb="FF7F7F7F"/>
        <bgColor rgb="FF7F7F7F"/>
      </patternFill>
    </fill>
    <fill>
      <patternFill patternType="solid">
        <fgColor rgb="FF34A853"/>
        <bgColor rgb="FF34A853"/>
      </patternFill>
    </fill>
    <fill>
      <patternFill patternType="solid">
        <fgColor rgb="FF0000FF"/>
        <bgColor rgb="FF0000FF"/>
      </patternFill>
    </fill>
    <fill>
      <patternFill patternType="solid">
        <fgColor rgb="FFFFF2CC"/>
        <bgColor rgb="FFFFF2CC"/>
      </patternFill>
    </fill>
    <fill>
      <patternFill patternType="solid">
        <fgColor rgb="FFEFF6FF"/>
        <bgColor rgb="FFEFF6FF"/>
      </patternFill>
    </fill>
    <fill>
      <patternFill patternType="solid">
        <fgColor rgb="FFFEF3C7"/>
        <bgColor rgb="FFFEF3C7"/>
      </patternFill>
    </fill>
    <fill>
      <patternFill patternType="solid">
        <fgColor rgb="FFD8D8D8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9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vertical="bottom"/>
    </xf>
    <xf numFmtId="0" fontId="3" fillId="0" borderId="3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3" borderId="4" applyAlignment="1" pivotButton="0" quotePrefix="0" xfId="0">
      <alignment vertical="bottom"/>
    </xf>
    <xf numFmtId="0" fontId="5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horizontal="left" vertical="center" wrapText="1"/>
    </xf>
    <xf numFmtId="0" fontId="3" fillId="0" borderId="7" pivotButton="0" quotePrefix="0" xfId="0"/>
    <xf numFmtId="0" fontId="5" fillId="0" borderId="1" applyAlignment="1" pivotButton="0" quotePrefix="0" xfId="0">
      <alignment vertical="center" wrapText="1"/>
    </xf>
    <xf numFmtId="0" fontId="4" fillId="3" borderId="8" applyAlignment="1" pivotButton="0" quotePrefix="0" xfId="0">
      <alignment vertical="bottom"/>
    </xf>
    <xf numFmtId="0" fontId="5" fillId="0" borderId="1" applyAlignment="1" pivotButton="0" quotePrefix="0" xfId="0">
      <alignment vertical="bottom" wrapText="1"/>
    </xf>
    <xf numFmtId="164" fontId="4" fillId="3" borderId="4" applyAlignment="1" pivotButton="0" quotePrefix="0" xfId="0">
      <alignment vertical="bottom"/>
    </xf>
    <xf numFmtId="0" fontId="7" fillId="3" borderId="9" applyAlignment="1" pivotButton="0" quotePrefix="0" xfId="0">
      <alignment horizontal="center" vertical="top" wrapText="1"/>
    </xf>
    <xf numFmtId="0" fontId="3" fillId="0" borderId="9" pivotButton="0" quotePrefix="0" xfId="0"/>
    <xf numFmtId="0" fontId="8" fillId="4" borderId="10" applyAlignment="1" pivotButton="0" quotePrefix="0" xfId="0">
      <alignment horizontal="center" vertical="top" wrapText="1"/>
    </xf>
    <xf numFmtId="0" fontId="3" fillId="0" borderId="11" pivotButton="0" quotePrefix="0" xfId="0"/>
    <xf numFmtId="0" fontId="8" fillId="4" borderId="12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164" fontId="8" fillId="4" borderId="12" applyAlignment="1" pivotButton="0" quotePrefix="0" xfId="0">
      <alignment horizontal="center" vertical="top" wrapText="1"/>
    </xf>
    <xf numFmtId="0" fontId="4" fillId="0" borderId="1" applyAlignment="1" pivotButton="0" quotePrefix="0" xfId="0">
      <alignment wrapText="1"/>
    </xf>
    <xf numFmtId="0" fontId="7" fillId="3" borderId="13" applyAlignment="1" pivotButton="0" quotePrefix="0" xfId="0">
      <alignment horizontal="left" vertical="center" wrapText="1"/>
    </xf>
    <xf numFmtId="0" fontId="6" fillId="5" borderId="10" applyAlignment="1" pivotButton="0" quotePrefix="0" xfId="0">
      <alignment horizontal="center" vertical="bottom" wrapText="1"/>
    </xf>
    <xf numFmtId="0" fontId="9" fillId="3" borderId="7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3" fillId="0" borderId="14" pivotButton="0" quotePrefix="0" xfId="0"/>
    <xf numFmtId="0" fontId="6" fillId="0" borderId="1" applyAlignment="1" pivotButton="0" quotePrefix="0" xfId="0">
      <alignment wrapText="1"/>
    </xf>
    <xf numFmtId="0" fontId="6" fillId="5" borderId="12" applyAlignment="1" pivotButton="0" quotePrefix="0" xfId="0">
      <alignment vertical="bottom" wrapText="1"/>
    </xf>
    <xf numFmtId="0" fontId="5" fillId="0" borderId="1" applyAlignment="1" pivotButton="0" quotePrefix="0" xfId="0">
      <alignment vertical="bottom"/>
    </xf>
    <xf numFmtId="0" fontId="7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vertical="top" wrapText="1"/>
    </xf>
    <xf numFmtId="0" fontId="6" fillId="5" borderId="12" applyAlignment="1" pivotButton="0" quotePrefix="0" xfId="0">
      <alignment horizontal="center" vertical="bottom" wrapText="1"/>
    </xf>
    <xf numFmtId="0" fontId="6" fillId="3" borderId="1" applyAlignment="1" pivotButton="0" quotePrefix="0" xfId="0">
      <alignment horizontal="center" vertical="top" wrapText="1"/>
    </xf>
    <xf numFmtId="0" fontId="9" fillId="3" borderId="7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3" fillId="0" borderId="15" pivotButton="0" quotePrefix="0" xfId="0"/>
    <xf numFmtId="0" fontId="5" fillId="0" borderId="1" applyAlignment="1" pivotButton="0" quotePrefix="0" xfId="0">
      <alignment vertical="center"/>
    </xf>
    <xf numFmtId="0" fontId="8" fillId="3" borderId="13" applyAlignment="1" pivotButton="0" quotePrefix="0" xfId="0">
      <alignment vertical="top" wrapText="1"/>
    </xf>
    <xf numFmtId="9" fontId="6" fillId="5" borderId="12" applyAlignment="1" pivotButton="0" quotePrefix="0" xfId="0">
      <alignment horizontal="center" vertical="bottom" wrapText="1"/>
    </xf>
    <xf numFmtId="0" fontId="7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wrapText="1"/>
    </xf>
    <xf numFmtId="0" fontId="7" fillId="6" borderId="5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7" fillId="7" borderId="1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7" fillId="6" borderId="14" applyAlignment="1" pivotButton="0" quotePrefix="0" xfId="0">
      <alignment horizontal="center" wrapText="1"/>
    </xf>
    <xf numFmtId="0" fontId="7" fillId="8" borderId="13" applyAlignment="1" pivotButton="0" quotePrefix="0" xfId="0">
      <alignment horizontal="left" vertical="center" wrapText="1"/>
    </xf>
    <xf numFmtId="0" fontId="9" fillId="8" borderId="1" applyAlignment="1" pivotButton="0" quotePrefix="0" xfId="0">
      <alignment vertical="top" wrapText="1"/>
    </xf>
    <xf numFmtId="0" fontId="7" fillId="9" borderId="13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5" borderId="16" applyAlignment="1" pivotButton="0" quotePrefix="0" xfId="0">
      <alignment horizontal="center" vertical="bottom" wrapText="1"/>
    </xf>
    <xf numFmtId="0" fontId="3" fillId="0" borderId="17" pivotButton="0" quotePrefix="0" xfId="0"/>
    <xf numFmtId="0" fontId="9" fillId="3" borderId="13" applyAlignment="1" pivotButton="0" quotePrefix="0" xfId="0">
      <alignment horizontal="left" vertical="center" wrapText="1"/>
    </xf>
    <xf numFmtId="0" fontId="8" fillId="5" borderId="12" applyAlignment="1" pivotButton="0" quotePrefix="0" xfId="0">
      <alignment horizontal="center" vertical="bottom" wrapText="1"/>
    </xf>
    <xf numFmtId="9" fontId="8" fillId="5" borderId="12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8" fillId="3" borderId="5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165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bottom"/>
    </xf>
    <xf numFmtId="0" fontId="6" fillId="3" borderId="1" applyAlignment="1" pivotButton="0" quotePrefix="0" xfId="0">
      <alignment horizontal="center" vertical="center" wrapText="1"/>
    </xf>
    <xf numFmtId="0" fontId="6" fillId="0" borderId="11" applyAlignment="1" pivotButton="0" quotePrefix="0" xfId="0">
      <alignment vertical="center" wrapText="1"/>
    </xf>
    <xf numFmtId="0" fontId="11" fillId="0" borderId="0" pivotButton="0" quotePrefix="0" xfId="0"/>
    <xf numFmtId="0" fontId="6" fillId="3" borderId="1" applyAlignment="1" pivotButton="0" quotePrefix="0" xfId="0">
      <alignment vertical="center" wrapText="1"/>
    </xf>
    <xf numFmtId="0" fontId="12" fillId="0" borderId="0" applyAlignment="1" pivotButton="0" quotePrefix="0" xfId="0">
      <alignment vertical="bottom"/>
    </xf>
    <xf numFmtId="0" fontId="7" fillId="8" borderId="13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center"/>
    </xf>
    <xf numFmtId="0" fontId="6" fillId="3" borderId="1" applyAlignment="1" pivotButton="0" quotePrefix="0" xfId="0">
      <alignment horizontal="left" vertical="center" wrapText="1"/>
    </xf>
    <xf numFmtId="0" fontId="7" fillId="9" borderId="13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0" fontId="6" fillId="3" borderId="1" applyAlignment="1" pivotButton="0" quotePrefix="0" xfId="0">
      <alignment vertical="center"/>
    </xf>
    <xf numFmtId="0" fontId="6" fillId="0" borderId="0" applyAlignment="1" pivotButton="0" quotePrefix="0" xfId="0">
      <alignment vertical="bottom"/>
    </xf>
    <xf numFmtId="0" fontId="8" fillId="0" borderId="13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center"/>
    </xf>
    <xf numFmtId="0" fontId="15" fillId="3" borderId="13" applyAlignment="1" pivotButton="0" quotePrefix="0" xfId="0">
      <alignment horizontal="left" vertical="center" wrapText="1"/>
    </xf>
    <xf numFmtId="0" fontId="6" fillId="0" borderId="5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16" fillId="0" borderId="0" pivotButton="0" quotePrefix="0" xfId="0"/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17" fillId="0" borderId="0" pivotButton="0" quotePrefix="0" xfId="0"/>
    <xf numFmtId="0" fontId="6" fillId="0" borderId="5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vertical="center" wrapText="1"/>
    </xf>
    <xf numFmtId="0" fontId="6" fillId="3" borderId="5" applyAlignment="1" pivotButton="0" quotePrefix="0" xfId="0">
      <alignment vertical="center"/>
    </xf>
    <xf numFmtId="0" fontId="20" fillId="0" borderId="1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3" borderId="13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left" vertical="center" wrapText="1"/>
    </xf>
    <xf numFmtId="0" fontId="9" fillId="3" borderId="1" applyAlignment="1" pivotButton="0" quotePrefix="0" xfId="0">
      <alignment vertical="top" wrapText="1"/>
    </xf>
    <xf numFmtId="0" fontId="6" fillId="3" borderId="5" applyAlignment="1" pivotButton="0" quotePrefix="0" xfId="0">
      <alignment vertical="center" wrapText="1"/>
    </xf>
    <xf numFmtId="0" fontId="21" fillId="0" borderId="1" applyAlignment="1" pivotButton="0" quotePrefix="0" xfId="0">
      <alignment wrapText="1"/>
    </xf>
    <xf numFmtId="0" fontId="22" fillId="3" borderId="0" applyAlignment="1" pivotButton="0" quotePrefix="0" xfId="0">
      <alignment vertical="top" wrapText="1"/>
    </xf>
    <xf numFmtId="0" fontId="8" fillId="0" borderId="9" applyAlignment="1" pivotButton="0" quotePrefix="0" xfId="0">
      <alignment horizontal="left" vertical="center" wrapText="1"/>
    </xf>
    <xf numFmtId="0" fontId="8" fillId="0" borderId="1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wrapText="1"/>
    </xf>
    <xf numFmtId="0" fontId="6" fillId="0" borderId="5" applyAlignment="1" pivotButton="0" quotePrefix="0" xfId="0">
      <alignment vertical="center" wrapText="1"/>
    </xf>
    <xf numFmtId="0" fontId="8" fillId="3" borderId="13" applyAlignment="1" pivotButton="0" quotePrefix="0" xfId="0">
      <alignment vertical="top" wrapText="1"/>
    </xf>
    <xf numFmtId="0" fontId="8" fillId="0" borderId="13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5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bottom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bottom" wrapText="1"/>
    </xf>
    <xf numFmtId="0" fontId="7" fillId="6" borderId="5" applyAlignment="1" pivotButton="0" quotePrefix="0" xfId="0">
      <alignment horizontal="center" wrapText="1"/>
    </xf>
    <xf numFmtId="0" fontId="8" fillId="8" borderId="13" applyAlignment="1" pivotButton="0" quotePrefix="0" xfId="0">
      <alignment vertical="top" wrapText="1"/>
    </xf>
    <xf numFmtId="0" fontId="6" fillId="8" borderId="1" applyAlignment="1" pivotButton="0" quotePrefix="0" xfId="0">
      <alignment vertical="top"/>
    </xf>
    <xf numFmtId="0" fontId="9" fillId="3" borderId="5" applyAlignment="1" pivotButton="0" quotePrefix="0" xfId="0">
      <alignment horizontal="left" vertical="center" wrapText="1"/>
    </xf>
    <xf numFmtId="0" fontId="6" fillId="8" borderId="1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6" fillId="3" borderId="1" applyAlignment="1" pivotButton="0" quotePrefix="0" xfId="0">
      <alignment vertical="bottom" wrapText="1"/>
    </xf>
    <xf numFmtId="0" fontId="6" fillId="10" borderId="0" applyAlignment="1" pivotButton="0" quotePrefix="0" xfId="0">
      <alignment vertical="top"/>
    </xf>
    <xf numFmtId="0" fontId="24" fillId="0" borderId="13" applyAlignment="1" pivotButton="0" quotePrefix="0" xfId="0">
      <alignment horizontal="left" vertical="center" wrapText="1"/>
    </xf>
    <xf numFmtId="0" fontId="6" fillId="3" borderId="1" applyAlignment="1" pivotButton="0" quotePrefix="0" xfId="0">
      <alignment wrapText="1"/>
    </xf>
    <xf numFmtId="165" fontId="9" fillId="3" borderId="1" applyAlignment="1" pivotButton="0" quotePrefix="0" xfId="0">
      <alignment horizontal="center" vertical="center" wrapText="1"/>
    </xf>
    <xf numFmtId="0" fontId="25" fillId="3" borderId="13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wrapText="1"/>
    </xf>
    <xf numFmtId="0" fontId="26" fillId="3" borderId="1" applyAlignment="1" pivotButton="0" quotePrefix="0" xfId="0">
      <alignment vertical="center"/>
    </xf>
    <xf numFmtId="0" fontId="6" fillId="3" borderId="0" applyAlignment="1" pivotButton="0" quotePrefix="0" xfId="0">
      <alignment wrapText="1"/>
    </xf>
    <xf numFmtId="0" fontId="6" fillId="11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vertical="bottom" wrapText="1"/>
    </xf>
    <xf numFmtId="0" fontId="6" fillId="0" borderId="1" applyAlignment="1" pivotButton="0" quotePrefix="0" xfId="0">
      <alignment vertical="bottom" wrapText="1"/>
    </xf>
    <xf numFmtId="0" fontId="6" fillId="0" borderId="1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8" fillId="0" borderId="13" applyAlignment="1" pivotButton="0" quotePrefix="0" xfId="0">
      <alignment vertical="bottom" wrapText="1"/>
    </xf>
    <xf numFmtId="0" fontId="9" fillId="0" borderId="14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bottom"/>
    </xf>
    <xf numFmtId="0" fontId="14" fillId="0" borderId="1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 wrapText="1"/>
    </xf>
    <xf numFmtId="0" fontId="6" fillId="0" borderId="5" applyAlignment="1" pivotButton="0" quotePrefix="0" xfId="0">
      <alignment vertical="bottom" wrapText="1"/>
    </xf>
    <xf numFmtId="0" fontId="6" fillId="0" borderId="1" applyAlignment="1" pivotButton="0" quotePrefix="0" xfId="0">
      <alignment vertical="bottom" wrapText="1"/>
    </xf>
    <xf numFmtId="0" fontId="9" fillId="0" borderId="1" applyAlignment="1" pivotButton="0" quotePrefix="0" xfId="0">
      <alignment horizontal="left" vertical="top" wrapText="1"/>
    </xf>
    <xf numFmtId="165" fontId="9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wrapText="1"/>
    </xf>
    <xf numFmtId="0" fontId="6" fillId="2" borderId="1" applyAlignment="1" pivotButton="0" quotePrefix="0" xfId="0">
      <alignment vertical="bottom" wrapText="1"/>
    </xf>
    <xf numFmtId="0" fontId="6" fillId="3" borderId="5" applyAlignment="1" pivotButton="0" quotePrefix="0" xfId="0">
      <alignment vertical="center" wrapText="1"/>
    </xf>
    <xf numFmtId="0" fontId="6" fillId="11" borderId="5" applyAlignment="1" pivotButton="0" quotePrefix="0" xfId="0">
      <alignment horizontal="left" vertical="center" wrapText="1"/>
    </xf>
    <xf numFmtId="0" fontId="6" fillId="0" borderId="0" applyAlignment="1" pivotButton="0" quotePrefix="0" xfId="0">
      <alignment wrapText="1"/>
    </xf>
    <xf numFmtId="0" fontId="6" fillId="2" borderId="5" applyAlignment="1" pivotButton="0" quotePrefix="0" xfId="0">
      <alignment vertical="bottom" wrapText="1"/>
    </xf>
    <xf numFmtId="0" fontId="6" fillId="2" borderId="1" applyAlignment="1" pivotButton="0" quotePrefix="0" xfId="0">
      <alignment vertical="center" wrapText="1"/>
    </xf>
    <xf numFmtId="0" fontId="27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bottom" wrapText="1"/>
    </xf>
    <xf numFmtId="0" fontId="14" fillId="0" borderId="1" pivotButton="0" quotePrefix="0" xfId="0"/>
    <xf numFmtId="0" fontId="28" fillId="0" borderId="13" applyAlignment="1" pivotButton="0" quotePrefix="0" xfId="0">
      <alignment vertical="bottom" wrapText="1"/>
    </xf>
    <xf numFmtId="0" fontId="6" fillId="0" borderId="0" applyAlignment="1" pivotButton="0" quotePrefix="0" xfId="0">
      <alignment horizontal="center" vertical="center" wrapText="1"/>
    </xf>
    <xf numFmtId="0" fontId="8" fillId="0" borderId="13" applyAlignment="1" pivotButton="0" quotePrefix="0" xfId="0">
      <alignment vertical="bottom"/>
    </xf>
    <xf numFmtId="0" fontId="6" fillId="0" borderId="1" applyAlignment="1" pivotButton="0" quotePrefix="0" xfId="0">
      <alignment horizontal="center" wrapText="1"/>
    </xf>
    <xf numFmtId="0" fontId="6" fillId="0" borderId="5" applyAlignment="1" pivotButton="0" quotePrefix="0" xfId="0">
      <alignment vertical="bottom"/>
    </xf>
    <xf numFmtId="0" fontId="9" fillId="0" borderId="0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bottom"/>
    </xf>
    <xf numFmtId="0" fontId="6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0" fontId="6" fillId="3" borderId="5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9" fillId="3" borderId="13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top" wrapText="1"/>
    </xf>
    <xf numFmtId="0" fontId="6" fillId="0" borderId="11" applyAlignment="1" pivotButton="0" quotePrefix="0" xfId="0">
      <alignment horizontal="left" vertical="center" wrapText="1"/>
    </xf>
    <xf numFmtId="0" fontId="9" fillId="0" borderId="7" applyAlignment="1" pivotButton="0" quotePrefix="0" xfId="0">
      <alignment vertical="top" wrapText="1"/>
    </xf>
    <xf numFmtId="0" fontId="6" fillId="3" borderId="7" applyAlignment="1" pivotButton="0" quotePrefix="0" xfId="0">
      <alignment horizontal="left" vertical="center" wrapText="1"/>
    </xf>
    <xf numFmtId="0" fontId="6" fillId="0" borderId="7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top" wrapText="1"/>
    </xf>
    <xf numFmtId="0" fontId="29" fillId="3" borderId="9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0" fillId="3" borderId="11" applyAlignment="1" pivotButton="0" quotePrefix="0" xfId="0">
      <alignment vertical="top" wrapText="1"/>
    </xf>
    <xf numFmtId="0" fontId="9" fillId="0" borderId="7" applyAlignment="1" pivotButton="0" quotePrefix="0" xfId="0">
      <alignment horizontal="center" vertical="center" wrapText="1"/>
    </xf>
    <xf numFmtId="0" fontId="6" fillId="0" borderId="5" applyAlignment="1" pivotButton="0" quotePrefix="0" xfId="0">
      <alignment vertical="top" wrapText="1"/>
    </xf>
    <xf numFmtId="0" fontId="6" fillId="3" borderId="1" applyAlignment="1" pivotButton="0" quotePrefix="0" xfId="0">
      <alignment vertical="bottom" wrapText="1"/>
    </xf>
    <xf numFmtId="0" fontId="6" fillId="0" borderId="1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8" fillId="0" borderId="1" applyAlignment="1" pivotButton="0" quotePrefix="0" xfId="0">
      <alignment vertical="bottom" wrapText="1"/>
    </xf>
    <xf numFmtId="0" fontId="27" fillId="0" borderId="0" applyAlignment="1" pivotButton="0" quotePrefix="0" xfId="0">
      <alignment horizontal="left" vertical="center" wrapText="1"/>
    </xf>
    <xf numFmtId="0" fontId="4" fillId="0" borderId="13" applyAlignment="1" pivotButton="0" quotePrefix="0" xfId="0">
      <alignment vertical="bottom"/>
    </xf>
    <xf numFmtId="0" fontId="8" fillId="3" borderId="13" applyAlignment="1" pivotButton="0" quotePrefix="0" xfId="0">
      <alignment horizontal="center" vertical="top" wrapText="1"/>
    </xf>
    <xf numFmtId="0" fontId="8" fillId="3" borderId="13" applyAlignment="1" pivotButton="0" quotePrefix="0" xfId="0">
      <alignment vertical="bottom" wrapText="1"/>
    </xf>
    <xf numFmtId="0" fontId="8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top"/>
    </xf>
    <xf numFmtId="0" fontId="8" fillId="3" borderId="1" applyAlignment="1" pivotButton="0" quotePrefix="0" xfId="0">
      <alignment vertical="top" wrapText="1"/>
    </xf>
    <xf numFmtId="0" fontId="8" fillId="3" borderId="0" applyAlignment="1" pivotButton="0" quotePrefix="0" xfId="0">
      <alignment vertical="bottom"/>
    </xf>
    <xf numFmtId="0" fontId="8" fillId="3" borderId="1" applyAlignment="1" pivotButton="0" quotePrefix="0" xfId="0">
      <alignment vertical="bottom" wrapText="1"/>
    </xf>
    <xf numFmtId="0" fontId="6" fillId="3" borderId="1" applyAlignment="1" pivotButton="0" quotePrefix="0" xfId="0">
      <alignment vertical="bottom" wrapText="1"/>
    </xf>
    <xf numFmtId="0" fontId="6" fillId="3" borderId="1" applyAlignment="1" pivotButton="0" quotePrefix="0" xfId="0">
      <alignment horizontal="right" vertical="top" wrapText="1"/>
    </xf>
    <xf numFmtId="0" fontId="6" fillId="11" borderId="1" applyAlignment="1" pivotButton="0" quotePrefix="0" xfId="0">
      <alignment vertical="bottom" wrapText="1"/>
    </xf>
    <xf numFmtId="0" fontId="8" fillId="6" borderId="5" applyAlignment="1" pivotButton="0" quotePrefix="0" xfId="0">
      <alignment wrapText="1"/>
    </xf>
    <xf numFmtId="0" fontId="8" fillId="6" borderId="18" applyAlignment="1" pivotButton="0" quotePrefix="0" xfId="0">
      <alignment wrapText="1"/>
    </xf>
    <xf numFmtId="0" fontId="14" fillId="0" borderId="0" pivotButton="0" quotePrefix="0" xfId="0"/>
    <xf numFmtId="0" fontId="31" fillId="3" borderId="13" applyAlignment="1" pivotButton="0" quotePrefix="0" xfId="0">
      <alignment vertical="bottom" wrapText="1"/>
    </xf>
    <xf numFmtId="0" fontId="6" fillId="11" borderId="1" applyAlignment="1" pivotButton="0" quotePrefix="0" xfId="0">
      <alignment wrapText="1"/>
    </xf>
    <xf numFmtId="0" fontId="6" fillId="0" borderId="1" applyAlignment="1" pivotButton="0" quotePrefix="0" xfId="0">
      <alignment horizontal="center" vertical="bottom" wrapText="1"/>
    </xf>
    <xf numFmtId="0" fontId="6" fillId="0" borderId="5" applyAlignment="1" pivotButton="0" quotePrefix="0" xfId="0">
      <alignment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/>
    </xf>
    <xf numFmtId="165" fontId="4" fillId="0" borderId="1" applyAlignment="1" pivotButton="0" quotePrefix="0" xfId="0">
      <alignment vertical="bottom"/>
    </xf>
    <xf numFmtId="0" fontId="6" fillId="11" borderId="5" applyAlignment="1" pivotButton="0" quotePrefix="0" xfId="0">
      <alignment wrapText="1"/>
    </xf>
    <xf numFmtId="0" fontId="6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bottom" wrapText="1"/>
    </xf>
    <xf numFmtId="0" fontId="8" fillId="8" borderId="13" applyAlignment="1" pivotButton="0" quotePrefix="0" xfId="0">
      <alignment vertical="bottom" wrapText="1"/>
    </xf>
    <xf numFmtId="0" fontId="6" fillId="0" borderId="1" applyAlignment="1" pivotButton="0" quotePrefix="0" xfId="0">
      <alignment wrapText="1"/>
    </xf>
    <xf numFmtId="0" fontId="6" fillId="8" borderId="1" applyAlignment="1" pivotButton="0" quotePrefix="0" xfId="0">
      <alignment vertical="bottom"/>
    </xf>
    <xf numFmtId="0" fontId="6" fillId="8" borderId="1" applyAlignment="1" pivotButton="0" quotePrefix="0" xfId="0">
      <alignment vertical="bottom"/>
    </xf>
    <xf numFmtId="0" fontId="6" fillId="0" borderId="1" applyAlignment="1" pivotButton="0" quotePrefix="0" xfId="0">
      <alignment horizontal="center" vertical="bottom"/>
    </xf>
    <xf numFmtId="0" fontId="6" fillId="0" borderId="13" applyAlignment="1" pivotButton="0" quotePrefix="0" xfId="0">
      <alignment vertical="bottom" wrapText="1"/>
    </xf>
    <xf numFmtId="0" fontId="27" fillId="2" borderId="0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27" fillId="11" borderId="1" applyAlignment="1" pivotButton="0" quotePrefix="0" xfId="0">
      <alignment wrapText="1"/>
    </xf>
    <xf numFmtId="0" fontId="14" fillId="0" borderId="1" pivotButton="0" quotePrefix="0" xfId="0"/>
    <xf numFmtId="0" fontId="32" fillId="0" borderId="1" applyAlignment="1" pivotButton="0" quotePrefix="0" xfId="0">
      <alignment wrapText="1"/>
    </xf>
    <xf numFmtId="0" fontId="33" fillId="0" borderId="1" pivotButton="0" quotePrefix="0" xfId="0"/>
    <xf numFmtId="0" fontId="14" fillId="0" borderId="1" applyAlignment="1" pivotButton="0" quotePrefix="0" xfId="0">
      <alignment wrapText="1"/>
    </xf>
    <xf numFmtId="0" fontId="6" fillId="3" borderId="1" applyAlignment="1" pivotButton="0" quotePrefix="0" xfId="0">
      <alignment wrapText="1"/>
    </xf>
    <xf numFmtId="0" fontId="6" fillId="0" borderId="5" applyAlignment="1" pivotButton="0" quotePrefix="0" xfId="0">
      <alignment vertical="bottom" wrapText="1"/>
    </xf>
    <xf numFmtId="0" fontId="6" fillId="0" borderId="1" applyAlignment="1" pivotButton="0" quotePrefix="0" xfId="0">
      <alignment vertical="bottom" wrapText="1"/>
    </xf>
    <xf numFmtId="0" fontId="33" fillId="0" borderId="1" applyAlignment="1" pivotButton="0" quotePrefix="0" xfId="0">
      <alignment wrapText="1"/>
    </xf>
    <xf numFmtId="0" fontId="28" fillId="0" borderId="1" applyAlignment="1" pivotButton="0" quotePrefix="0" xfId="0">
      <alignment vertical="bottom" wrapText="1"/>
    </xf>
    <xf numFmtId="0" fontId="34" fillId="0" borderId="5" applyAlignment="1" pivotButton="0" quotePrefix="0" xfId="0">
      <alignment horizontal="left" vertical="center" wrapText="1"/>
    </xf>
    <xf numFmtId="0" fontId="34" fillId="0" borderId="1" applyAlignment="1" pivotButton="0" quotePrefix="0" xfId="0">
      <alignment horizontal="left" vertical="center" wrapText="1"/>
    </xf>
    <xf numFmtId="0" fontId="34" fillId="3" borderId="1" applyAlignment="1" pivotButton="0" quotePrefix="0" xfId="0">
      <alignment horizontal="left" vertical="center" wrapText="1"/>
    </xf>
    <xf numFmtId="0" fontId="6" fillId="0" borderId="14" applyAlignment="1" pivotButton="0" quotePrefix="0" xfId="0">
      <alignment vertical="bottom" wrapText="1"/>
    </xf>
    <xf numFmtId="0" fontId="35" fillId="0" borderId="6" applyAlignment="1" pivotButton="0" quotePrefix="0" xfId="0">
      <alignment wrapText="1"/>
    </xf>
    <xf numFmtId="0" fontId="3" fillId="0" borderId="6" pivotButton="0" quotePrefix="0" xfId="0"/>
    <xf numFmtId="0" fontId="14" fillId="3" borderId="0" pivotButton="0" quotePrefix="0" xfId="0"/>
    <xf numFmtId="0" fontId="8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9" fillId="0" borderId="1" applyAlignment="1" pivotButton="0" quotePrefix="0" xfId="0">
      <alignment horizontal="left" wrapText="1"/>
    </xf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bottom"/>
    </xf>
    <xf numFmtId="0" fontId="9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vertical="top" wrapText="1"/>
    </xf>
    <xf numFmtId="0" fontId="9" fillId="0" borderId="1" applyAlignment="1" pivotButton="0" quotePrefix="0" xfId="0">
      <alignment wrapText="1"/>
    </xf>
    <xf numFmtId="0" fontId="9" fillId="0" borderId="5" applyAlignment="1" pivotButton="0" quotePrefix="0" xfId="0">
      <alignment horizontal="left" wrapText="1"/>
    </xf>
    <xf numFmtId="0" fontId="9" fillId="0" borderId="0" applyAlignment="1" pivotButton="0" quotePrefix="0" xfId="0">
      <alignment wrapText="1"/>
    </xf>
    <xf numFmtId="0" fontId="9" fillId="2" borderId="5" applyAlignment="1" pivotButton="0" quotePrefix="0" xfId="0">
      <alignment horizontal="left" vertical="center" wrapText="1"/>
    </xf>
    <xf numFmtId="0" fontId="36" fillId="0" borderId="6" pivotButton="0" quotePrefix="0" xfId="0"/>
    <xf numFmtId="0" fontId="27" fillId="0" borderId="1" applyAlignment="1" pivotButton="0" quotePrefix="0" xfId="0">
      <alignment horizontal="left" wrapText="1"/>
    </xf>
    <xf numFmtId="0" fontId="27" fillId="0" borderId="1" applyAlignment="1" pivotButton="0" quotePrefix="0" xfId="0">
      <alignment horizontal="left" vertical="top" wrapText="1"/>
    </xf>
    <xf numFmtId="0" fontId="14" fillId="0" borderId="0" applyAlignment="1" pivotButton="0" quotePrefix="0" xfId="0">
      <alignment vertical="top"/>
    </xf>
    <xf numFmtId="0" fontId="6" fillId="0" borderId="5" applyAlignment="1" pivotButton="0" quotePrefix="0" xfId="0">
      <alignment wrapText="1"/>
    </xf>
    <xf numFmtId="0" fontId="4" fillId="3" borderId="5" applyAlignment="1" pivotButton="0" quotePrefix="0" xfId="0">
      <alignment vertical="bottom"/>
    </xf>
    <xf numFmtId="0" fontId="6" fillId="0" borderId="1" applyAlignment="1" pivotButton="0" quotePrefix="0" xfId="0">
      <alignment vertical="bottom" wrapText="1"/>
    </xf>
    <xf numFmtId="0" fontId="6" fillId="0" borderId="5" applyAlignment="1" pivotButton="0" quotePrefix="0" xfId="0">
      <alignment vertical="bottom" wrapText="1"/>
    </xf>
    <xf numFmtId="164" fontId="6" fillId="0" borderId="1" applyAlignment="1" pivotButton="0" quotePrefix="0" xfId="0">
      <alignment horizontal="center" vertical="bottom" wrapText="1"/>
    </xf>
    <xf numFmtId="0" fontId="34" fillId="3" borderId="1" applyAlignment="1" pivotButton="0" quotePrefix="0" xfId="0">
      <alignment horizontal="left" vertical="center" wrapText="1"/>
    </xf>
    <xf numFmtId="0" fontId="34" fillId="3" borderId="5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bottom" wrapText="1"/>
    </xf>
    <xf numFmtId="0" fontId="6" fillId="0" borderId="5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/>
    </xf>
    <xf numFmtId="0" fontId="6" fillId="1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/>
    </xf>
    <xf numFmtId="0" fontId="6" fillId="12" borderId="1" applyAlignment="1" pivotButton="0" quotePrefix="0" xfId="0">
      <alignment vertical="bottom"/>
    </xf>
    <xf numFmtId="0" fontId="6" fillId="13" borderId="1" applyAlignment="1" pivotButton="0" quotePrefix="0" xfId="0">
      <alignment vertical="bottom"/>
    </xf>
    <xf numFmtId="0" fontId="28" fillId="0" borderId="13" applyAlignment="1" pivotButton="0" quotePrefix="0" xfId="0">
      <alignment vertical="bottom" wrapText="1"/>
    </xf>
    <xf numFmtId="0" fontId="34" fillId="0" borderId="5" applyAlignment="1" pivotButton="0" quotePrefix="0" xfId="0">
      <alignment wrapText="1"/>
    </xf>
    <xf numFmtId="0" fontId="34" fillId="0" borderId="1" applyAlignment="1" pivotButton="0" quotePrefix="0" xfId="0">
      <alignment wrapText="1"/>
    </xf>
    <xf numFmtId="0" fontId="4" fillId="0" borderId="1" pivotButton="0" quotePrefix="0" xfId="0"/>
    <xf numFmtId="0" fontId="6" fillId="0" borderId="1" pivotButton="0" quotePrefix="0" xfId="0"/>
    <xf numFmtId="0" fontId="6" fillId="0" borderId="0" pivotButton="0" quotePrefix="0" xfId="0"/>
    <xf numFmtId="0" fontId="6" fillId="0" borderId="13" applyAlignment="1" pivotButton="0" quotePrefix="0" xfId="0">
      <alignment horizontal="left" vertical="center" wrapText="1"/>
    </xf>
    <xf numFmtId="0" fontId="8" fillId="3" borderId="1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3" borderId="13" applyAlignment="1" pivotButton="0" quotePrefix="0" xfId="0">
      <alignment horizontal="left" vertical="center" wrapText="1"/>
    </xf>
    <xf numFmtId="0" fontId="8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3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8" borderId="13" applyAlignment="1" pivotButton="0" quotePrefix="0" xfId="0">
      <alignment horizontal="left" vertical="center" wrapText="1"/>
    </xf>
    <xf numFmtId="0" fontId="6" fillId="8" borderId="1" applyAlignment="1" pivotButton="0" quotePrefix="0" xfId="0">
      <alignment vertical="center" wrapText="1"/>
    </xf>
    <xf numFmtId="0" fontId="6" fillId="3" borderId="1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vertical="bottom"/>
    </xf>
    <xf numFmtId="0" fontId="9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13" applyAlignment="1" pivotButton="0" quotePrefix="0" xfId="0">
      <alignment vertical="top" wrapText="1"/>
    </xf>
    <xf numFmtId="0" fontId="4" fillId="0" borderId="19" applyAlignment="1" pivotButton="0" quotePrefix="0" xfId="0">
      <alignment vertical="bottom"/>
    </xf>
    <xf numFmtId="0" fontId="4" fillId="0" borderId="18" applyAlignment="1" pivotButton="0" quotePrefix="0" xfId="0">
      <alignment vertical="bottom"/>
    </xf>
    <xf numFmtId="0" fontId="4" fillId="0" borderId="1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left" vertical="center" wrapText="1"/>
    </xf>
    <xf numFmtId="165" fontId="6" fillId="8" borderId="1" applyAlignment="1" pivotButton="0" quotePrefix="0" xfId="0">
      <alignment vertical="top"/>
    </xf>
    <xf numFmtId="0" fontId="37" fillId="3" borderId="13" applyAlignment="1" pivotButton="0" quotePrefix="0" xfId="0">
      <alignment wrapText="1"/>
    </xf>
    <xf numFmtId="0" fontId="6" fillId="0" borderId="1" applyAlignment="1" pivotButton="0" quotePrefix="0" xfId="0">
      <alignment horizontal="center" wrapText="1"/>
    </xf>
    <xf numFmtId="0" fontId="6" fillId="0" borderId="5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165" fontId="6" fillId="0" borderId="1" applyAlignment="1" pivotButton="0" quotePrefix="0" xfId="0">
      <alignment horizontal="center" wrapText="1"/>
    </xf>
    <xf numFmtId="0" fontId="6" fillId="14" borderId="1" applyAlignment="1" pivotButton="0" quotePrefix="0" xfId="0">
      <alignment horizontal="center"/>
    </xf>
    <xf numFmtId="0" fontId="4" fillId="0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6" fillId="0" borderId="13" applyAlignment="1" pivotButton="0" quotePrefix="0" xfId="0">
      <alignment vertical="top" wrapText="1"/>
    </xf>
    <xf numFmtId="0" fontId="4" fillId="0" borderId="13" applyAlignment="1" pivotButton="0" quotePrefix="0" xfId="0">
      <alignment vertical="bottom"/>
    </xf>
    <xf numFmtId="0" fontId="8" fillId="0" borderId="13" applyAlignment="1" pivotButton="0" quotePrefix="0" xfId="0">
      <alignment vertical="top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5" fontId="4" fillId="3" borderId="1" applyAlignment="1" pivotButton="0" quotePrefix="0" xfId="0">
      <alignment horizontal="left" vertical="center" wrapText="1"/>
    </xf>
    <xf numFmtId="0" fontId="8" fillId="0" borderId="1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center" wrapText="1"/>
    </xf>
    <xf numFmtId="0" fontId="6" fillId="3" borderId="0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bottom" wrapText="1"/>
    </xf>
    <xf numFmtId="0" fontId="8" fillId="0" borderId="13" applyAlignment="1" pivotButton="0" quotePrefix="0" xfId="0">
      <alignment wrapText="1"/>
    </xf>
    <xf numFmtId="0" fontId="6" fillId="2" borderId="1" applyAlignment="1" pivotButton="0" quotePrefix="0" xfId="0">
      <alignment vertical="bottom"/>
    </xf>
    <xf numFmtId="0" fontId="4" fillId="3" borderId="1" pivotButton="0" quotePrefix="0" xfId="0"/>
    <xf numFmtId="0" fontId="4" fillId="3" borderId="1" pivotButton="0" quotePrefix="0" xfId="0"/>
    <xf numFmtId="0" fontId="4" fillId="3" borderId="5" pivotButton="0" quotePrefix="0" xfId="0"/>
    <xf numFmtId="0" fontId="4" fillId="3" borderId="0" applyAlignment="1" pivotButton="0" quotePrefix="0" xfId="0">
      <alignment vertical="bottom"/>
    </xf>
    <xf numFmtId="0" fontId="6" fillId="0" borderId="1" pivotButton="0" quotePrefix="0" xfId="0"/>
    <xf numFmtId="0" fontId="4" fillId="3" borderId="13" applyAlignment="1" pivotButton="0" quotePrefix="0" xfId="0">
      <alignment vertical="bottom"/>
    </xf>
    <xf numFmtId="0" fontId="6" fillId="0" borderId="14" applyAlignment="1" pivotButton="0" quotePrefix="0" xfId="0">
      <alignment wrapText="1"/>
    </xf>
    <xf numFmtId="0" fontId="6" fillId="2" borderId="1" applyAlignment="1" pivotButton="0" quotePrefix="0" xfId="0">
      <alignment vertical="bottom" wrapText="1"/>
    </xf>
    <xf numFmtId="0" fontId="4" fillId="3" borderId="19" applyAlignment="1" pivotButton="0" quotePrefix="0" xfId="0">
      <alignment vertical="bottom"/>
    </xf>
    <xf numFmtId="0" fontId="4" fillId="3" borderId="18" applyAlignment="1" pivotButton="0" quotePrefix="0" xfId="0">
      <alignment vertical="bottom"/>
    </xf>
    <xf numFmtId="0" fontId="34" fillId="0" borderId="1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vertical="top" wrapText="1"/>
    </xf>
    <xf numFmtId="0" fontId="7" fillId="3" borderId="13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center" vertical="top" wrapText="1"/>
    </xf>
    <xf numFmtId="0" fontId="7" fillId="0" borderId="6" applyAlignment="1" pivotButton="0" quotePrefix="0" xfId="0">
      <alignment horizontal="center" vertical="top" wrapText="1"/>
    </xf>
    <xf numFmtId="0" fontId="8" fillId="3" borderId="13" applyAlignment="1" pivotButton="0" quotePrefix="0" xfId="0">
      <alignment vertical="top" wrapText="1"/>
    </xf>
    <xf numFmtId="0" fontId="7" fillId="6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left" vertical="center" wrapText="1"/>
    </xf>
    <xf numFmtId="0" fontId="7" fillId="3" borderId="9" applyAlignment="1" pivotButton="0" quotePrefix="0" xfId="0">
      <alignment horizontal="center" vertical="center" wrapText="1"/>
    </xf>
    <xf numFmtId="0" fontId="7" fillId="7" borderId="5" applyAlignment="1" pivotButton="0" quotePrefix="0" xfId="0">
      <alignment horizontal="center" vertical="top" wrapText="1"/>
    </xf>
    <xf numFmtId="0" fontId="6" fillId="0" borderId="0" applyAlignment="1" pivotButton="0" quotePrefix="0" xfId="0">
      <alignment vertical="center" wrapText="1"/>
    </xf>
    <xf numFmtId="0" fontId="7" fillId="6" borderId="14" applyAlignment="1" pivotButton="0" quotePrefix="0" xfId="0">
      <alignment horizontal="center" vertical="top" wrapText="1"/>
    </xf>
    <xf numFmtId="0" fontId="7" fillId="7" borderId="14" applyAlignment="1" pivotButton="0" quotePrefix="0" xfId="0">
      <alignment horizontal="center" vertical="top" wrapText="1"/>
    </xf>
    <xf numFmtId="0" fontId="9" fillId="3" borderId="7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8" fillId="8" borderId="13" applyAlignment="1" pivotButton="0" quotePrefix="0" xfId="0">
      <alignment vertical="top" wrapText="1"/>
    </xf>
    <xf numFmtId="0" fontId="9" fillId="3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top" wrapText="1"/>
    </xf>
    <xf numFmtId="0" fontId="4" fillId="0" borderId="13" applyAlignment="1" pivotButton="0" quotePrefix="0" xfId="0">
      <alignment vertical="top" wrapText="1"/>
    </xf>
    <xf numFmtId="0" fontId="9" fillId="3" borderId="7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 wrapText="1"/>
    </xf>
    <xf numFmtId="0" fontId="8" fillId="3" borderId="13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3" borderId="13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center" wrapText="1"/>
    </xf>
    <xf numFmtId="0" fontId="6" fillId="0" borderId="5" applyAlignment="1" pivotButton="0" quotePrefix="0" xfId="0">
      <alignment vertical="top" wrapText="1"/>
    </xf>
    <xf numFmtId="0" fontId="9" fillId="8" borderId="1" applyAlignment="1" pivotButton="0" quotePrefix="0" xfId="0">
      <alignment vertical="center" wrapText="1"/>
    </xf>
    <xf numFmtId="0" fontId="9" fillId="3" borderId="13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6" fillId="3" borderId="5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34" fillId="0" borderId="5" applyAlignment="1" pivotButton="0" quotePrefix="0" xfId="0">
      <alignment horizontal="left" vertical="center"/>
    </xf>
    <xf numFmtId="165" fontId="4" fillId="3" borderId="1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0" fontId="9" fillId="3" borderId="5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top" wrapText="1"/>
    </xf>
    <xf numFmtId="0" fontId="38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9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4" fillId="0" borderId="13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14" fillId="0" borderId="1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4" fillId="0" borderId="13" applyAlignment="1" pivotButton="0" quotePrefix="0" xfId="0">
      <alignment vertical="top" wrapText="1"/>
    </xf>
    <xf numFmtId="0" fontId="6" fillId="0" borderId="5" applyAlignment="1" pivotButton="0" quotePrefix="0" xfId="0">
      <alignment vertical="center"/>
    </xf>
    <xf numFmtId="165" fontId="4" fillId="0" borderId="1" pivotButton="0" quotePrefix="0" xfId="0"/>
    <xf numFmtId="0" fontId="4" fillId="0" borderId="0" pivotButton="0" quotePrefix="0" xfId="0"/>
    <xf numFmtId="0" fontId="9" fillId="0" borderId="1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8" fillId="8" borderId="13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9" fillId="0" borderId="13" applyAlignment="1" pivotButton="0" quotePrefix="0" xfId="0">
      <alignment horizontal="left" vertical="center" wrapText="1"/>
    </xf>
    <xf numFmtId="0" fontId="4" fillId="3" borderId="11" applyAlignment="1" pivotButton="0" quotePrefix="0" xfId="0">
      <alignment vertical="top" wrapText="1"/>
    </xf>
    <xf numFmtId="0" fontId="6" fillId="0" borderId="1" applyAlignment="1" pivotButton="0" quotePrefix="0" xfId="0">
      <alignment vertical="center"/>
    </xf>
    <xf numFmtId="0" fontId="6" fillId="3" borderId="11" applyAlignment="1" pivotButton="0" quotePrefix="0" xfId="0">
      <alignment vertical="bottom" wrapText="1"/>
    </xf>
    <xf numFmtId="0" fontId="6" fillId="16" borderId="11" applyAlignment="1" pivotButton="0" quotePrefix="0" xfId="0">
      <alignment horizontal="center" vertical="bottom" wrapText="1"/>
    </xf>
    <xf numFmtId="0" fontId="6" fillId="3" borderId="7" applyAlignment="1" pivotButton="0" quotePrefix="0" xfId="0">
      <alignment vertical="bottom" wrapText="1"/>
    </xf>
    <xf numFmtId="0" fontId="6" fillId="16" borderId="7" applyAlignment="1" pivotButton="0" quotePrefix="0" xfId="0">
      <alignment horizontal="center" vertical="bottom" wrapText="1"/>
    </xf>
    <xf numFmtId="0" fontId="6" fillId="17" borderId="7" applyAlignment="1" pivotButton="0" quotePrefix="0" xfId="0">
      <alignment horizontal="center" vertical="bottom" wrapText="1"/>
    </xf>
    <xf numFmtId="0" fontId="6" fillId="0" borderId="5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top" wrapText="1"/>
    </xf>
    <xf numFmtId="0" fontId="39" fillId="3" borderId="0" applyAlignment="1" pivotButton="0" quotePrefix="0" xfId="0">
      <alignment horizontal="left"/>
    </xf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/>
    </xf>
    <xf numFmtId="0" fontId="40" fillId="0" borderId="0" pivotButton="0" quotePrefix="0" xfId="0"/>
    <xf numFmtId="0" fontId="41" fillId="3" borderId="1" applyAlignment="1" pivotButton="0" quotePrefix="0" xfId="0">
      <alignment vertical="center" wrapText="1"/>
    </xf>
    <xf numFmtId="0" fontId="41" fillId="0" borderId="1" applyAlignment="1" pivotButton="0" quotePrefix="0" xfId="0">
      <alignment vertical="center" wrapText="1"/>
    </xf>
    <xf numFmtId="0" fontId="6" fillId="0" borderId="13" applyAlignment="1" pivotButton="0" quotePrefix="0" xfId="0">
      <alignment vertical="center" wrapText="1"/>
    </xf>
    <xf numFmtId="0" fontId="6" fillId="3" borderId="13" applyAlignment="1" pivotButton="0" quotePrefix="0" xfId="0">
      <alignment vertical="center" wrapText="1"/>
    </xf>
    <xf numFmtId="0" fontId="6" fillId="3" borderId="0" applyAlignment="1" pivotButton="0" quotePrefix="0" xfId="0">
      <alignment vertical="center"/>
    </xf>
    <xf numFmtId="0" fontId="40" fillId="3" borderId="0" pivotButton="0" quotePrefix="0" xfId="0"/>
    <xf numFmtId="0" fontId="4" fillId="2" borderId="1" applyAlignment="1" pivotButton="0" quotePrefix="0" xfId="0">
      <alignment vertical="bottom"/>
    </xf>
    <xf numFmtId="165" fontId="4" fillId="2" borderId="1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34" fillId="2" borderId="1" applyAlignment="1" pivotButton="0" quotePrefix="0" xfId="0">
      <alignment horizontal="left" vertical="center" wrapText="1"/>
    </xf>
    <xf numFmtId="0" fontId="4" fillId="0" borderId="11" applyAlignment="1" pivotButton="0" quotePrefix="0" xfId="0">
      <alignment vertical="top" wrapText="1"/>
    </xf>
    <xf numFmtId="0" fontId="6" fillId="0" borderId="20" applyAlignment="1" pivotButton="0" quotePrefix="0" xfId="0">
      <alignment vertical="center" wrapText="1"/>
    </xf>
    <xf numFmtId="0" fontId="6" fillId="0" borderId="13" applyAlignment="1" pivotButton="0" quotePrefix="0" xfId="0">
      <alignment vertical="center"/>
    </xf>
    <xf numFmtId="0" fontId="6" fillId="3" borderId="13" applyAlignment="1" pivotButton="0" quotePrefix="0" xfId="0">
      <alignment horizontal="center" vertical="center" wrapText="1"/>
    </xf>
    <xf numFmtId="0" fontId="3" fillId="0" borderId="21" pivotButton="0" quotePrefix="0" xfId="0"/>
    <xf numFmtId="0" fontId="6" fillId="0" borderId="13" applyAlignment="1" pivotButton="0" quotePrefix="0" xfId="0">
      <alignment vertical="center" wrapText="1"/>
    </xf>
    <xf numFmtId="0" fontId="28" fillId="0" borderId="13" applyAlignment="1" pivotButton="0" quotePrefix="0" xfId="0">
      <alignment vertical="center" wrapText="1"/>
    </xf>
    <xf numFmtId="0" fontId="28" fillId="0" borderId="9" applyAlignment="1" pivotButton="0" quotePrefix="0" xfId="0">
      <alignment vertical="center" wrapText="1"/>
    </xf>
    <xf numFmtId="0" fontId="28" fillId="0" borderId="11" applyAlignment="1" pivotButton="0" quotePrefix="0" xfId="0">
      <alignment vertical="center" wrapText="1"/>
    </xf>
    <xf numFmtId="0" fontId="42" fillId="0" borderId="13" applyAlignment="1" pivotButton="0" quotePrefix="0" xfId="0">
      <alignment vertical="bottom" wrapText="1"/>
    </xf>
    <xf numFmtId="165" fontId="4" fillId="0" borderId="0" applyAlignment="1" pivotButton="0" quotePrefix="0" xfId="0">
      <alignment vertical="bottom"/>
    </xf>
    <xf numFmtId="0" fontId="34" fillId="2" borderId="1" applyAlignment="1" pivotButton="0" quotePrefix="0" xfId="0">
      <alignment horizontal="left" vertical="center" wrapText="1"/>
    </xf>
    <xf numFmtId="0" fontId="43" fillId="0" borderId="1" applyAlignment="1" pivotButton="0" quotePrefix="0" xfId="0">
      <alignment vertical="center" wrapText="1"/>
    </xf>
    <xf numFmtId="165" fontId="4" fillId="2" borderId="0" applyAlignment="1" pivotButton="0" quotePrefix="0" xfId="0">
      <alignment vertical="bottom"/>
    </xf>
    <xf numFmtId="0" fontId="4" fillId="3" borderId="11" applyAlignment="1" pivotButton="0" quotePrefix="0" xfId="0">
      <alignment vertical="top" wrapText="1"/>
    </xf>
    <xf numFmtId="0" fontId="44" fillId="0" borderId="5" applyAlignment="1" pivotButton="0" quotePrefix="0" xfId="0">
      <alignment horizontal="left" vertical="center" wrapText="1"/>
    </xf>
    <xf numFmtId="0" fontId="6" fillId="0" borderId="13" applyAlignment="1" pivotButton="0" quotePrefix="0" xfId="0">
      <alignment horizontal="left" vertical="center" wrapText="1"/>
    </xf>
    <xf numFmtId="0" fontId="6" fillId="3" borderId="5" applyAlignment="1" pivotButton="0" quotePrefix="0" xfId="0">
      <alignment horizontal="left" vertical="center" wrapText="1"/>
    </xf>
    <xf numFmtId="0" fontId="9" fillId="3" borderId="1" applyAlignment="1" pivotButton="0" quotePrefix="0" xfId="0">
      <alignment vertical="center" wrapText="1"/>
    </xf>
    <xf numFmtId="0" fontId="3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9" fillId="3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14" borderId="1" applyAlignment="1" pivotButton="0" quotePrefix="0" xfId="0">
      <alignment horizontal="center" wrapText="1"/>
    </xf>
    <xf numFmtId="0" fontId="4" fillId="0" borderId="1" pivotButton="0" quotePrefix="0" xfId="0"/>
    <xf numFmtId="0" fontId="7" fillId="0" borderId="6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5" fontId="9" fillId="0" borderId="1" applyAlignment="1" pivotButton="0" quotePrefix="0" xfId="0">
      <alignment horizontal="center" vertical="center" wrapText="1"/>
    </xf>
    <xf numFmtId="0" fontId="6" fillId="3" borderId="5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45" fillId="0" borderId="13" applyAlignment="1" pivotButton="0" quotePrefix="0" xfId="0">
      <alignment horizontal="left" vertical="center" wrapText="1"/>
    </xf>
    <xf numFmtId="0" fontId="8" fillId="8" borderId="13" applyAlignment="1" pivotButton="0" quotePrefix="0" xfId="0">
      <alignment vertical="top" wrapText="1"/>
    </xf>
    <xf numFmtId="0" fontId="6" fillId="3" borderId="5" applyAlignment="1" pivotButton="0" quotePrefix="0" xfId="0">
      <alignment vertical="center" wrapText="1"/>
    </xf>
    <xf numFmtId="0" fontId="6" fillId="0" borderId="14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46" fillId="0" borderId="1" applyAlignment="1" pivotButton="0" quotePrefix="0" xfId="0">
      <alignment vertical="center" wrapText="1"/>
    </xf>
    <xf numFmtId="0" fontId="28" fillId="0" borderId="13" applyAlignment="1" pivotButton="0" quotePrefix="0" xfId="0">
      <alignment vertical="center" wrapText="1"/>
    </xf>
    <xf numFmtId="0" fontId="19" fillId="0" borderId="5" applyAlignment="1" pivotButton="0" quotePrefix="0" xfId="0">
      <alignment vertical="center" wrapText="1"/>
    </xf>
    <xf numFmtId="0" fontId="6" fillId="0" borderId="11" applyAlignment="1" pivotButton="0" quotePrefix="0" xfId="0">
      <alignment vertical="center" wrapText="1"/>
    </xf>
    <xf numFmtId="0" fontId="9" fillId="0" borderId="7" applyAlignment="1" pivotButton="0" quotePrefix="0" xfId="0">
      <alignment vertical="center" wrapText="1"/>
    </xf>
    <xf numFmtId="0" fontId="9" fillId="0" borderId="7" applyAlignment="1" pivotButton="0" quotePrefix="0" xfId="0">
      <alignment vertical="center" wrapText="1"/>
    </xf>
    <xf numFmtId="0" fontId="6" fillId="0" borderId="7" applyAlignment="1" pivotButton="0" quotePrefix="0" xfId="0">
      <alignment vertical="center" wrapText="1"/>
    </xf>
    <xf numFmtId="0" fontId="6" fillId="3" borderId="7" applyAlignment="1" pivotButton="0" quotePrefix="0" xfId="0">
      <alignment vertical="center" wrapText="1"/>
    </xf>
    <xf numFmtId="0" fontId="6" fillId="0" borderId="7" applyAlignment="1" pivotButton="0" quotePrefix="0" xfId="0">
      <alignment vertical="center" wrapText="1"/>
    </xf>
    <xf numFmtId="0" fontId="8" fillId="0" borderId="9" applyAlignment="1" pivotButton="0" quotePrefix="0" xfId="0">
      <alignment horizontal="left" vertical="center" wrapText="1"/>
    </xf>
    <xf numFmtId="0" fontId="8" fillId="0" borderId="11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0" fontId="27" fillId="0" borderId="5" applyAlignment="1" pivotButton="0" quotePrefix="0" xfId="0">
      <alignment horizontal="left" wrapText="1"/>
    </xf>
    <xf numFmtId="0" fontId="6" fillId="11" borderId="1" applyAlignment="1" pivotButton="0" quotePrefix="0" xfId="0">
      <alignment horizontal="center" vertical="center" wrapText="1"/>
    </xf>
    <xf numFmtId="0" fontId="6" fillId="0" borderId="14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0" borderId="15" applyAlignment="1" pivotButton="0" quotePrefix="0" xfId="0">
      <alignment vertical="center" wrapText="1"/>
    </xf>
    <xf numFmtId="0" fontId="26" fillId="3" borderId="1" applyAlignment="1" pivotButton="0" quotePrefix="0" xfId="0">
      <alignment vertical="center" wrapText="1"/>
    </xf>
    <xf numFmtId="0" fontId="27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8" fillId="0" borderId="13" applyAlignment="1" pivotButton="0" quotePrefix="0" xfId="0">
      <alignment vertical="top" wrapText="1"/>
    </xf>
    <xf numFmtId="0" fontId="6" fillId="2" borderId="0" pivotButton="0" quotePrefix="0" xfId="0"/>
    <xf numFmtId="0" fontId="27" fillId="3" borderId="5" applyAlignment="1" pivotButton="0" quotePrefix="0" xfId="0">
      <alignment horizontal="left" wrapText="1"/>
    </xf>
    <xf numFmtId="0" fontId="27" fillId="3" borderId="1" applyAlignment="1" pivotButton="0" quotePrefix="0" xfId="0">
      <alignment horizontal="left" wrapText="1"/>
    </xf>
    <xf numFmtId="0" fontId="6" fillId="0" borderId="0" pivotButton="0" quotePrefix="0" xfId="0"/>
    <xf numFmtId="0" fontId="6" fillId="0" borderId="5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9" fillId="2" borderId="0" applyAlignment="1" pivotButton="0" quotePrefix="0" xfId="0">
      <alignment vertical="center"/>
    </xf>
    <xf numFmtId="0" fontId="4" fillId="8" borderId="13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center"/>
    </xf>
    <xf numFmtId="0" fontId="6" fillId="1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7" fillId="3" borderId="1" applyAlignment="1" pivotButton="0" quotePrefix="0" xfId="0">
      <alignment wrapText="1"/>
    </xf>
    <xf numFmtId="0" fontId="28" fillId="0" borderId="13" applyAlignment="1" pivotButton="0" quotePrefix="0" xfId="0">
      <alignment horizontal="left" vertical="center" wrapText="1"/>
    </xf>
    <xf numFmtId="0" fontId="9" fillId="3" borderId="0" applyAlignment="1" pivotButton="0" quotePrefix="0" xfId="0">
      <alignment vertical="center"/>
    </xf>
    <xf numFmtId="0" fontId="6" fillId="2" borderId="5" applyAlignment="1" pivotButton="0" quotePrefix="0" xfId="0">
      <alignment vertical="center" wrapText="1"/>
    </xf>
    <xf numFmtId="0" fontId="6" fillId="2" borderId="1" applyAlignment="1" pivotButton="0" quotePrefix="0" xfId="0">
      <alignment vertical="center" wrapText="1"/>
    </xf>
    <xf numFmtId="0" fontId="28" fillId="0" borderId="13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6" fillId="14" borderId="1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41" fillId="0" borderId="1" applyAlignment="1" pivotButton="0" quotePrefix="0" xfId="0">
      <alignment vertical="center"/>
    </xf>
    <xf numFmtId="0" fontId="41" fillId="3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vertical="center" wrapText="1"/>
    </xf>
    <xf numFmtId="0" fontId="41" fillId="0" borderId="0" applyAlignment="1" pivotButton="0" quotePrefix="0" xfId="0">
      <alignment vertical="center"/>
    </xf>
    <xf numFmtId="0" fontId="47" fillId="0" borderId="0" pivotButton="0" quotePrefix="0" xfId="0"/>
    <xf numFmtId="0" fontId="6" fillId="0" borderId="14" applyAlignment="1" pivotButton="0" quotePrefix="0" xfId="0">
      <alignment horizontal="left" vertical="center" wrapText="1"/>
    </xf>
    <xf numFmtId="0" fontId="6" fillId="2" borderId="1" applyAlignment="1" pivotButton="0" quotePrefix="0" xfId="0">
      <alignment wrapText="1"/>
    </xf>
    <xf numFmtId="0" fontId="6" fillId="0" borderId="14" applyAlignment="1" pivotButton="0" quotePrefix="0" xfId="0">
      <alignment wrapText="1"/>
    </xf>
    <xf numFmtId="165" fontId="6" fillId="0" borderId="1" applyAlignment="1" pivotButton="0" quotePrefix="0" xfId="0">
      <alignment vertical="center"/>
    </xf>
    <xf numFmtId="0" fontId="6" fillId="14" borderId="1" applyAlignment="1" pivotButton="0" quotePrefix="0" xfId="0">
      <alignment horizontal="center" vertical="center" wrapText="1"/>
    </xf>
    <xf numFmtId="0" fontId="6" fillId="0" borderId="14" applyAlignment="1" pivotButton="0" quotePrefix="0" xfId="0">
      <alignment vertical="center" wrapText="1"/>
    </xf>
    <xf numFmtId="0" fontId="6" fillId="0" borderId="15" applyAlignment="1" pivotButton="0" quotePrefix="0" xfId="0">
      <alignment vertical="center" wrapText="1"/>
    </xf>
    <xf numFmtId="0" fontId="48" fillId="3" borderId="13" applyAlignment="1" pivotButton="0" quotePrefix="0" xfId="0">
      <alignment vertical="center" wrapText="1"/>
    </xf>
    <xf numFmtId="0" fontId="4" fillId="0" borderId="13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6" fillId="0" borderId="18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9" fillId="0" borderId="13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 wrapText="1"/>
    </xf>
    <xf numFmtId="165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28" fillId="0" borderId="13" applyAlignment="1" pivotButton="0" quotePrefix="0" xfId="0">
      <alignment vertical="top" wrapText="1"/>
    </xf>
    <xf numFmtId="0" fontId="6" fillId="0" borderId="1" applyAlignment="1" pivotButton="0" quotePrefix="0" xfId="0">
      <alignment horizontal="left" vertical="center"/>
    </xf>
    <xf numFmtId="0" fontId="8" fillId="18" borderId="13" applyAlignment="1" pivotButton="0" quotePrefix="0" xfId="0">
      <alignment vertical="center" wrapText="1"/>
    </xf>
    <xf numFmtId="0" fontId="6" fillId="18" borderId="1" applyAlignment="1" pivotButton="0" quotePrefix="0" xfId="0">
      <alignment vertical="center"/>
    </xf>
    <xf numFmtId="0" fontId="6" fillId="18" borderId="1" applyAlignment="1" pivotButton="0" quotePrefix="0" xfId="0">
      <alignment vertical="center" wrapText="1"/>
    </xf>
    <xf numFmtId="0" fontId="2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50" fillId="3" borderId="6" pivotButton="0" quotePrefix="0" xfId="0"/>
    <xf numFmtId="0" fontId="50" fillId="3" borderId="0" pivotButton="0" quotePrefix="0" xfId="0"/>
    <xf numFmtId="0" fontId="51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0" fontId="52" fillId="0" borderId="1" applyAlignment="1" pivotButton="0" quotePrefix="0" xfId="0">
      <alignment vertical="center" wrapText="1"/>
    </xf>
    <xf numFmtId="0" fontId="53" fillId="0" borderId="1" applyAlignment="1" pivotButton="0" quotePrefix="0" xfId="0">
      <alignment vertical="center" wrapText="1"/>
    </xf>
    <xf numFmtId="0" fontId="6" fillId="14" borderId="1" applyAlignment="1" pivotButton="0" quotePrefix="0" xfId="0">
      <alignment horizontal="center" wrapText="1"/>
    </xf>
    <xf numFmtId="0" fontId="6" fillId="0" borderId="0" applyAlignment="1" pivotButton="0" quotePrefix="0" xfId="0">
      <alignment vertical="center" wrapText="1"/>
    </xf>
    <xf numFmtId="165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3" fillId="0" borderId="18" pivotButton="0" quotePrefix="0" xfId="0"/>
    <xf numFmtId="0" fontId="45" fillId="0" borderId="13" applyAlignment="1" pivotButton="0" quotePrefix="0" xfId="0">
      <alignment vertical="center" wrapText="1"/>
    </xf>
    <xf numFmtId="0" fontId="8" fillId="18" borderId="13" applyAlignment="1" pivotButton="0" quotePrefix="0" xfId="0">
      <alignment wrapText="1"/>
    </xf>
    <xf numFmtId="0" fontId="4" fillId="18" borderId="1" pivotButton="0" quotePrefix="0" xfId="0"/>
    <xf numFmtId="0" fontId="54" fillId="0" borderId="1" applyAlignment="1" pivotButton="0" quotePrefix="0" xfId="0">
      <alignment horizontal="left" vertical="center" wrapText="1"/>
    </xf>
    <xf numFmtId="0" fontId="8" fillId="0" borderId="13" applyAlignment="1" pivotButton="0" quotePrefix="0" xfId="0">
      <alignment vertical="bottom" wrapText="1"/>
    </xf>
    <xf numFmtId="0" fontId="6" fillId="3" borderId="5" applyAlignment="1" pivotButton="0" quotePrefix="0" xfId="0">
      <alignment vertical="bottom" wrapText="1"/>
    </xf>
    <xf numFmtId="0" fontId="14" fillId="0" borderId="0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9" fillId="0" borderId="14" applyAlignment="1" pivotButton="0" quotePrefix="0" xfId="0">
      <alignment horizontal="left" vertical="center" wrapText="1"/>
    </xf>
    <xf numFmtId="0" fontId="55" fillId="0" borderId="5" applyAlignment="1" pivotButton="0" quotePrefix="0" xfId="0">
      <alignment vertical="center" wrapText="1"/>
    </xf>
    <xf numFmtId="0" fontId="14" fillId="0" borderId="1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56" fillId="0" borderId="5" applyAlignment="1" pivotButton="0" quotePrefix="0" xfId="0">
      <alignment wrapText="1"/>
    </xf>
    <xf numFmtId="0" fontId="6" fillId="3" borderId="5" applyAlignment="1" pivotButton="0" quotePrefix="0" xfId="0">
      <alignment vertical="bottom" wrapText="1"/>
    </xf>
    <xf numFmtId="0" fontId="14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28" fillId="0" borderId="13" applyAlignment="1" pivotButton="0" quotePrefix="0" xfId="0">
      <alignment wrapText="1"/>
    </xf>
    <xf numFmtId="0" fontId="57" fillId="0" borderId="5" applyAlignment="1" pivotButton="0" quotePrefix="0" xfId="0">
      <alignment wrapText="1"/>
    </xf>
    <xf numFmtId="0" fontId="9" fillId="0" borderId="18" applyAlignment="1" pivotButton="0" quotePrefix="0" xfId="0">
      <alignment wrapText="1"/>
    </xf>
    <xf numFmtId="0" fontId="58" fillId="0" borderId="5" applyAlignment="1" pivotButton="0" quotePrefix="0" xfId="0">
      <alignment wrapText="1"/>
    </xf>
    <xf numFmtId="0" fontId="6" fillId="3" borderId="5" applyAlignment="1" pivotButton="0" quotePrefix="0" xfId="0">
      <alignment vertical="top" wrapText="1"/>
    </xf>
    <xf numFmtId="0" fontId="6" fillId="3" borderId="11" applyAlignment="1" pivotButton="0" quotePrefix="0" xfId="0">
      <alignment vertical="top" wrapText="1"/>
    </xf>
    <xf numFmtId="0" fontId="6" fillId="3" borderId="15" applyAlignment="1" pivotButton="0" quotePrefix="0" xfId="0">
      <alignment vertical="top" wrapText="1"/>
    </xf>
    <xf numFmtId="0" fontId="6" fillId="3" borderId="7" applyAlignment="1" pivotButton="0" quotePrefix="0" xfId="0">
      <alignment vertical="top" wrapText="1"/>
    </xf>
    <xf numFmtId="0" fontId="6" fillId="3" borderId="15" applyAlignment="1" pivotButton="0" quotePrefix="0" xfId="0">
      <alignment vertical="top" wrapText="1"/>
    </xf>
    <xf numFmtId="0" fontId="6" fillId="3" borderId="7" applyAlignment="1" pivotButton="0" quotePrefix="0" xfId="0">
      <alignment vertical="top" wrapText="1"/>
    </xf>
    <xf numFmtId="0" fontId="6" fillId="0" borderId="0" applyAlignment="1" pivotButton="0" quotePrefix="0" xfId="0">
      <alignment vertical="bottom" wrapText="1"/>
    </xf>
    <xf numFmtId="0" fontId="6" fillId="0" borderId="1" applyAlignment="1" pivotButton="0" quotePrefix="0" xfId="0">
      <alignment horizontal="right" vertical="bottom" wrapText="1"/>
    </xf>
    <xf numFmtId="0" fontId="8" fillId="18" borderId="1" applyAlignment="1" pivotButton="0" quotePrefix="0" xfId="0">
      <alignment vertical="center" wrapText="1"/>
    </xf>
    <xf numFmtId="0" fontId="6" fillId="18" borderId="1" applyAlignment="1" pivotButton="0" quotePrefix="0" xfId="0">
      <alignment vertical="center" wrapText="1"/>
    </xf>
    <xf numFmtId="0" fontId="6" fillId="0" borderId="1" applyAlignment="1" pivotButton="0" quotePrefix="1" xfId="0">
      <alignment wrapText="1"/>
    </xf>
    <xf numFmtId="0" fontId="28" fillId="0" borderId="1" applyAlignment="1" pivotButton="0" quotePrefix="0" xfId="0">
      <alignment wrapText="1"/>
    </xf>
    <xf numFmtId="0" fontId="28" fillId="0" borderId="9" applyAlignment="1" pivotButton="0" quotePrefix="0" xfId="0">
      <alignment wrapText="1"/>
    </xf>
    <xf numFmtId="166" fontId="6" fillId="0" borderId="1" applyAlignment="1" pivotButton="0" quotePrefix="0" xfId="0">
      <alignment wrapText="1"/>
    </xf>
    <xf numFmtId="0" fontId="41" fillId="3" borderId="1" applyAlignment="1" pivotButton="0" quotePrefix="0" xfId="0">
      <alignment vertical="center" wrapText="1"/>
    </xf>
    <xf numFmtId="0" fontId="9" fillId="9" borderId="13" applyAlignment="1" pivotButton="0" quotePrefix="0" xfId="0">
      <alignment horizontal="left" vertical="center" wrapText="1"/>
    </xf>
    <xf numFmtId="0" fontId="6" fillId="2" borderId="1" applyAlignment="1" pivotButton="0" quotePrefix="0" xfId="0">
      <alignment vertical="top" wrapText="1"/>
    </xf>
    <xf numFmtId="0" fontId="27" fillId="0" borderId="18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0" fontId="7" fillId="6" borderId="5" applyAlignment="1" pivotButton="0" quotePrefix="0" xfId="0">
      <alignment horizontal="center" vertical="center" wrapText="1"/>
    </xf>
    <xf numFmtId="0" fontId="60" fillId="9" borderId="1" applyAlignment="1" pivotButton="0" quotePrefix="0" xfId="0">
      <alignment horizontal="left" vertical="center" wrapText="1"/>
    </xf>
    <xf numFmtId="0" fontId="60" fillId="9" borderId="13" applyAlignment="1" pivotButton="0" quotePrefix="0" xfId="0">
      <alignment horizontal="left" vertical="center" wrapText="1"/>
    </xf>
    <xf numFmtId="0" fontId="41" fillId="0" borderId="0" applyAlignment="1" pivotButton="0" quotePrefix="0" xfId="0">
      <alignment vertical="center" wrapText="1"/>
    </xf>
    <xf numFmtId="0" fontId="6" fillId="19" borderId="0" applyAlignment="1" pivotButton="0" quotePrefix="0" xfId="0">
      <alignment wrapText="1"/>
    </xf>
    <xf numFmtId="0" fontId="24" fillId="3" borderId="13" applyAlignment="1" pivotButton="0" quotePrefix="0" xfId="0">
      <alignment horizontal="left" vertical="center" wrapText="1"/>
    </xf>
    <xf numFmtId="0" fontId="6" fillId="2" borderId="0" applyAlignment="1" pivotButton="0" quotePrefix="0" xfId="0">
      <alignment wrapText="1"/>
    </xf>
    <xf numFmtId="0" fontId="7" fillId="9" borderId="1" applyAlignment="1" pivotButton="0" quotePrefix="0" xfId="0">
      <alignment horizontal="left" vertical="center" wrapText="1"/>
    </xf>
    <xf numFmtId="0" fontId="24" fillId="3" borderId="13" applyAlignment="1" pivotButton="0" quotePrefix="0" xfId="0">
      <alignment horizontal="left" vertical="center" wrapText="1"/>
    </xf>
    <xf numFmtId="167" fontId="6" fillId="0" borderId="1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45" fillId="0" borderId="13" applyAlignment="1" pivotButton="0" quotePrefix="0" xfId="0">
      <alignment wrapText="1"/>
    </xf>
    <xf numFmtId="0" fontId="6" fillId="0" borderId="13" applyAlignment="1" pivotButton="0" quotePrefix="0" xfId="0">
      <alignment wrapText="1"/>
    </xf>
    <xf numFmtId="0" fontId="61" fillId="0" borderId="1" applyAlignment="1" pivotButton="0" quotePrefix="0" xfId="0">
      <alignment vertical="center" wrapText="1"/>
    </xf>
    <xf numFmtId="0" fontId="7" fillId="20" borderId="13" applyAlignment="1" pivotButton="0" quotePrefix="0" xfId="0">
      <alignment horizontal="left" vertical="center" wrapText="1"/>
    </xf>
    <xf numFmtId="0" fontId="9" fillId="20" borderId="1" applyAlignment="1" pivotButton="0" quotePrefix="0" xfId="0">
      <alignment vertical="center" wrapText="1"/>
    </xf>
    <xf numFmtId="0" fontId="62" fillId="0" borderId="1" applyAlignment="1" pivotButton="0" quotePrefix="0" xfId="0">
      <alignment vertical="center" wrapText="1"/>
    </xf>
    <xf numFmtId="0" fontId="54" fillId="0" borderId="5" applyAlignment="1" pivotButton="0" quotePrefix="0" xfId="0">
      <alignment vertical="center" wrapText="1"/>
    </xf>
    <xf numFmtId="0" fontId="63" fillId="0" borderId="5" applyAlignment="1" pivotButton="0" quotePrefix="0" xfId="0">
      <alignment vertical="center" wrapText="1"/>
    </xf>
    <xf numFmtId="0" fontId="64" fillId="0" borderId="5" applyAlignment="1" pivotButton="0" quotePrefix="0" xfId="0">
      <alignment vertical="center" wrapText="1"/>
    </xf>
    <xf numFmtId="0" fontId="65" fillId="0" borderId="5" applyAlignment="1" pivotButton="0" quotePrefix="0" xfId="0">
      <alignment vertical="center" wrapText="1"/>
    </xf>
    <xf numFmtId="0" fontId="66" fillId="0" borderId="1" applyAlignment="1" pivotButton="0" quotePrefix="0" xfId="0">
      <alignment vertical="center" wrapText="1"/>
    </xf>
    <xf numFmtId="0" fontId="67" fillId="3" borderId="0" applyAlignment="1" pivotButton="0" quotePrefix="0" xfId="0">
      <alignment horizontal="left"/>
    </xf>
    <xf numFmtId="0" fontId="54" fillId="0" borderId="1" applyAlignment="1" pivotButton="0" quotePrefix="0" xfId="0">
      <alignment vertical="center" wrapText="1"/>
    </xf>
    <xf numFmtId="0" fontId="54" fillId="0" borderId="1" applyAlignment="1" pivotButton="0" quotePrefix="0" xfId="0">
      <alignment vertical="center" wrapText="1"/>
    </xf>
    <xf numFmtId="0" fontId="54" fillId="0" borderId="5" applyAlignment="1" pivotButton="0" quotePrefix="0" xfId="0">
      <alignment vertical="center" wrapText="1"/>
    </xf>
    <xf numFmtId="0" fontId="8" fillId="8" borderId="13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bottom" wrapText="1"/>
    </xf>
    <xf numFmtId="0" fontId="68" fillId="20" borderId="1" applyAlignment="1" pivotButton="0" quotePrefix="0" xfId="0">
      <alignment horizontal="center" vertical="center" wrapText="1"/>
    </xf>
    <xf numFmtId="0" fontId="69" fillId="0" borderId="5" applyAlignment="1" pivotButton="0" quotePrefix="0" xfId="0">
      <alignment vertical="center" wrapText="1"/>
    </xf>
    <xf numFmtId="0" fontId="70" fillId="21" borderId="1" applyAlignment="1" pivotButton="0" quotePrefix="0" xfId="0">
      <alignment horizontal="center" vertical="center" wrapText="1"/>
    </xf>
    <xf numFmtId="0" fontId="70" fillId="21" borderId="1" applyAlignment="1" pivotButton="0" quotePrefix="0" xfId="0">
      <alignment horizontal="center" vertical="top" wrapText="1"/>
    </xf>
    <xf numFmtId="0" fontId="71" fillId="22" borderId="1" applyAlignment="1" pivotButton="0" quotePrefix="0" xfId="0">
      <alignment horizontal="center" vertical="top" wrapText="1"/>
    </xf>
    <xf numFmtId="0" fontId="28" fillId="0" borderId="9" applyAlignment="1" pivotButton="0" quotePrefix="0" xfId="0">
      <alignment horizontal="left" vertical="center" wrapText="1"/>
    </xf>
    <xf numFmtId="0" fontId="28" fillId="0" borderId="11" applyAlignment="1" pivotButton="0" quotePrefix="0" xfId="0">
      <alignment horizontal="left" vertical="center" wrapText="1"/>
    </xf>
    <xf numFmtId="0" fontId="72" fillId="3" borderId="0" applyAlignment="1" pivotButton="0" quotePrefix="0" xfId="0">
      <alignment horizontal="left"/>
    </xf>
    <xf numFmtId="0" fontId="71" fillId="2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7" applyAlignment="1" pivotButton="0" quotePrefix="0" xfId="0">
      <alignment horizontal="left" vertical="top" wrapText="1"/>
    </xf>
    <xf numFmtId="0" fontId="0" fillId="0" borderId="7" pivotButton="0" quotePrefix="0" xfId="0"/>
    <xf numFmtId="0" fontId="7" fillId="3" borderId="11" applyAlignment="1" pivotButton="0" quotePrefix="0" xfId="0">
      <alignment horizontal="center" vertical="top" wrapText="1"/>
    </xf>
    <xf numFmtId="0" fontId="0" fillId="0" borderId="9" pivotButton="0" quotePrefix="0" xfId="0"/>
    <xf numFmtId="0" fontId="0" fillId="0" borderId="11" pivotButton="0" quotePrefix="0" xfId="0"/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6" borderId="15" applyAlignment="1" pivotButton="0" quotePrefix="0" xfId="0">
      <alignment horizontal="center" vertical="top" wrapText="1"/>
    </xf>
    <xf numFmtId="0" fontId="7" fillId="7" borderId="15" applyAlignment="1" pivotButton="0" quotePrefix="0" xfId="0">
      <alignment horizontal="center" vertical="top" wrapText="1"/>
    </xf>
    <xf numFmtId="0" fontId="0" fillId="0" borderId="15" pivotButton="0" quotePrefix="0" xfId="0"/>
    <xf numFmtId="0" fontId="8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69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0" fillId="0" borderId="14" pivotButton="0" quotePrefix="0" xfId="0"/>
    <xf numFmtId="0" fontId="73" fillId="0" borderId="0" pivotButton="0" quotePrefix="0" xfId="0"/>
    <xf numFmtId="0" fontId="74" fillId="23" borderId="24" applyAlignment="1" pivotButton="0" quotePrefix="0" xfId="0">
      <alignment horizontal="center" vertical="center" wrapText="1"/>
    </xf>
    <xf numFmtId="0" fontId="75" fillId="0" borderId="24" applyAlignment="1" pivotButton="0" quotePrefix="0" xfId="0">
      <alignment horizontal="left" vertical="center" wrapText="1"/>
    </xf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257"/>
  <sheetViews>
    <sheetView workbookViewId="0">
      <selection activeCell="A1" sqref="A1"/>
    </sheetView>
  </sheetViews>
  <sheetFormatPr baseColWidth="8" defaultColWidth="12.63" defaultRowHeight="15" customHeight="1" outlineLevelRow="1"/>
  <cols>
    <col width="12.63" customWidth="1" style="668" min="1" max="1"/>
    <col width="21" customWidth="1" style="668" min="2" max="2"/>
    <col width="45.88" customWidth="1" style="668" min="3" max="3"/>
    <col width="51.25" customWidth="1" style="668" min="4" max="4"/>
    <col width="48.13" customWidth="1" style="668" min="5" max="5"/>
    <col hidden="1" width="21.38" customWidth="1" style="668" min="6" max="6"/>
    <col hidden="1" width="11" customWidth="1" style="668" min="7" max="8"/>
    <col hidden="1" width="13" customWidth="1" style="668" min="9" max="9"/>
    <col hidden="1" width="12.63" customWidth="1" style="668" min="10" max="10"/>
    <col width="33" customWidth="1" style="668" min="13" max="13"/>
  </cols>
  <sheetData>
    <row r="1">
      <c r="A1" s="669" t="n"/>
      <c r="B1" s="670" t="n"/>
      <c r="C1" s="671" t="inlineStr">
        <is>
          <t>TỔNG CÔNG TY CỔ PHẦN BƯU CHÍNH VIETTEL
 KỊCH BẢN KIỂM THỬ</t>
        </is>
      </c>
      <c r="D1" s="672" t="n"/>
      <c r="E1" s="672" t="n"/>
      <c r="F1" s="672" t="n"/>
      <c r="G1" s="672" t="n"/>
      <c r="H1" s="672" t="n"/>
      <c r="I1" s="672" t="n"/>
      <c r="J1" s="672" t="n"/>
      <c r="K1" s="672" t="n"/>
      <c r="L1" s="672" t="n"/>
      <c r="M1" s="673" t="n"/>
      <c r="N1" s="362" t="n"/>
      <c r="O1" s="293" t="n"/>
      <c r="P1" s="293" t="n"/>
      <c r="Q1" s="293" t="n"/>
      <c r="R1" s="293" t="n"/>
      <c r="S1" s="293" t="n"/>
      <c r="T1" s="293" t="n"/>
      <c r="U1" s="293" t="n"/>
      <c r="V1" s="293" t="n"/>
      <c r="W1" s="293" t="n"/>
      <c r="X1" s="293" t="n"/>
      <c r="Y1" s="293" t="n"/>
      <c r="Z1" s="293" t="n"/>
      <c r="AA1" s="293" t="n"/>
      <c r="AB1" s="293" t="n"/>
      <c r="AC1" s="293" t="n"/>
    </row>
    <row r="2">
      <c r="A2" s="364" t="inlineStr">
        <is>
          <t>Chức năng</t>
        </is>
      </c>
      <c r="B2" s="673" t="n"/>
      <c r="C2" s="34" t="inlineStr">
        <is>
          <t>Quản lý gói cước - UC1 Danh sách gói cước, UC2 Tạo mới gói cước (CMS admin)</t>
        </is>
      </c>
      <c r="D2" s="114" t="n"/>
      <c r="E2" s="114" t="n"/>
      <c r="F2" s="114" t="n"/>
      <c r="G2" s="114" t="n"/>
      <c r="H2" s="114" t="n"/>
      <c r="I2" s="114" t="n"/>
      <c r="J2" s="114" t="n"/>
      <c r="K2" s="114" t="n"/>
      <c r="L2" s="114" t="n"/>
      <c r="M2" s="114" t="n"/>
      <c r="N2" s="362" t="n"/>
      <c r="O2" s="293" t="n"/>
      <c r="P2" s="293" t="n"/>
      <c r="Q2" s="293" t="n"/>
      <c r="R2" s="293" t="n"/>
      <c r="S2" s="293" t="n"/>
      <c r="T2" s="293" t="n"/>
      <c r="U2" s="293" t="n"/>
      <c r="V2" s="293" t="n"/>
      <c r="W2" s="293" t="n"/>
      <c r="X2" s="293" t="n"/>
      <c r="Y2" s="293" t="n"/>
      <c r="Z2" s="293" t="n"/>
      <c r="AA2" s="293" t="n"/>
      <c r="AB2" s="293" t="n"/>
      <c r="AC2" s="293" t="n"/>
    </row>
    <row r="3">
      <c r="A3" s="364" t="inlineStr">
        <is>
          <t>Link TL + task</t>
        </is>
      </c>
      <c r="B3" s="673" t="n"/>
      <c r="C3" s="328" t="inlineStr">
        <is>
          <t>SRS: Xây dựng module gói cước - mục Qly gói cước (UC danh sách gói cước, UC2 tạo mới gói cước) | Figma: [WEB] Tammi OA node 33996-147041</t>
        </is>
      </c>
      <c r="D3" s="114" t="n"/>
      <c r="E3" s="114" t="n"/>
      <c r="F3" s="362" t="n"/>
      <c r="G3" s="114" t="n"/>
      <c r="H3" s="114" t="n"/>
      <c r="I3" s="114" t="n"/>
      <c r="J3" s="114" t="n"/>
      <c r="K3" s="114" t="n"/>
      <c r="L3" s="114" t="n"/>
      <c r="M3" s="114" t="n"/>
      <c r="N3" s="362" t="n"/>
      <c r="O3" s="293" t="n"/>
      <c r="P3" s="293" t="n"/>
      <c r="Q3" s="293" t="n"/>
      <c r="R3" s="293" t="n"/>
      <c r="S3" s="293" t="n"/>
      <c r="T3" s="293" t="n"/>
      <c r="U3" s="293" t="n"/>
      <c r="V3" s="293" t="n"/>
      <c r="W3" s="293" t="n"/>
      <c r="X3" s="293" t="n"/>
      <c r="Y3" s="293" t="n"/>
      <c r="Z3" s="293" t="n"/>
      <c r="AA3" s="293" t="n"/>
      <c r="AB3" s="293" t="n"/>
      <c r="AC3" s="293" t="n"/>
    </row>
    <row r="4">
      <c r="A4" s="364" t="inlineStr">
        <is>
          <t>ID</t>
        </is>
      </c>
      <c r="B4" s="364" t="n"/>
      <c r="C4" s="106" t="inlineStr">
        <is>
          <t>TC</t>
        </is>
      </c>
      <c r="D4" s="114" t="n"/>
      <c r="E4" s="114" t="n"/>
      <c r="F4" s="362" t="n"/>
      <c r="G4" s="114" t="n"/>
      <c r="H4" s="114" t="n"/>
      <c r="I4" s="114" t="n"/>
      <c r="J4" s="114" t="n"/>
      <c r="K4" s="114" t="n"/>
      <c r="L4" s="114" t="n"/>
      <c r="M4" s="114" t="n"/>
      <c r="N4" s="362" t="n"/>
      <c r="O4" s="293" t="n"/>
      <c r="P4" s="293" t="n"/>
      <c r="Q4" s="293" t="n"/>
      <c r="R4" s="293" t="n"/>
      <c r="S4" s="293" t="n"/>
      <c r="T4" s="293" t="n"/>
      <c r="U4" s="293" t="n"/>
      <c r="V4" s="293" t="n"/>
      <c r="W4" s="293" t="n"/>
      <c r="X4" s="293" t="n"/>
      <c r="Y4" s="293" t="n"/>
      <c r="Z4" s="293" t="n"/>
      <c r="AA4" s="293" t="n"/>
      <c r="AB4" s="293" t="n"/>
      <c r="AC4" s="293" t="n"/>
    </row>
    <row r="5">
      <c r="A5" s="364" t="inlineStr">
        <is>
          <t>Người tạo</t>
        </is>
      </c>
      <c r="B5" s="673" t="n"/>
      <c r="C5" s="34" t="n"/>
      <c r="D5" s="114" t="n"/>
      <c r="E5" s="114" t="n"/>
      <c r="F5" s="114" t="n"/>
      <c r="G5" s="114" t="n"/>
      <c r="H5" s="114" t="n"/>
      <c r="I5" s="114" t="n"/>
      <c r="J5" s="114" t="n"/>
      <c r="K5" s="114" t="n"/>
      <c r="L5" s="114" t="n"/>
      <c r="M5" s="114" t="n"/>
      <c r="N5" s="362" t="n"/>
      <c r="O5" s="293" t="n"/>
      <c r="P5" s="293" t="n"/>
      <c r="Q5" s="293" t="n"/>
      <c r="R5" s="293" t="n"/>
      <c r="S5" s="293" t="n"/>
      <c r="T5" s="293" t="n"/>
      <c r="U5" s="293" t="n"/>
      <c r="V5" s="293" t="n"/>
      <c r="W5" s="293" t="n"/>
      <c r="X5" s="293" t="n"/>
      <c r="Y5" s="293" t="n"/>
      <c r="Z5" s="293" t="n"/>
      <c r="AA5" s="293" t="n"/>
      <c r="AB5" s="293" t="n"/>
      <c r="AC5" s="293" t="n"/>
    </row>
    <row r="6">
      <c r="A6" s="364" t="inlineStr">
        <is>
          <t>Số lượng Testcase</t>
        </is>
      </c>
      <c r="B6" s="673" t="n"/>
      <c r="C6" s="365">
        <f>COUNTIF(A12:A257,"*TC*")</f>
        <v/>
      </c>
      <c r="D6" s="114" t="n"/>
      <c r="E6" s="114" t="n"/>
      <c r="F6" s="114" t="n"/>
      <c r="G6" s="114" t="n"/>
      <c r="H6" s="114" t="n"/>
      <c r="I6" s="114" t="n"/>
      <c r="J6" s="114" t="n"/>
      <c r="K6" s="114" t="n"/>
      <c r="L6" s="114" t="n"/>
      <c r="M6" s="114" t="n"/>
      <c r="N6" s="362" t="n"/>
      <c r="O6" s="293" t="n"/>
      <c r="P6" s="293" t="n"/>
      <c r="Q6" s="293" t="n"/>
      <c r="R6" s="293" t="n"/>
      <c r="S6" s="293" t="n"/>
      <c r="T6" s="293" t="n"/>
      <c r="U6" s="293" t="n"/>
      <c r="V6" s="293" t="n"/>
      <c r="W6" s="293" t="n"/>
      <c r="X6" s="293" t="n"/>
      <c r="Y6" s="293" t="n"/>
      <c r="Z6" s="293" t="n"/>
      <c r="AA6" s="293" t="n"/>
      <c r="AB6" s="293" t="n"/>
      <c r="AC6" s="293" t="n"/>
    </row>
    <row r="7">
      <c r="A7" s="209" t="inlineStr">
        <is>
          <t>Số testcase đạt (Pass)</t>
        </is>
      </c>
      <c r="B7" s="673" t="n"/>
      <c r="C7" s="439">
        <f>COUNTIF($K$15:$K$257,"Pass")</f>
        <v/>
      </c>
      <c r="D7" s="366" t="n"/>
      <c r="E7" s="366" t="n"/>
      <c r="F7" s="366" t="n"/>
      <c r="G7" s="366" t="n"/>
      <c r="H7" s="366" t="n"/>
      <c r="I7" s="366" t="n"/>
      <c r="J7" s="366" t="n"/>
      <c r="K7" s="366" t="n"/>
      <c r="L7" s="366" t="n"/>
      <c r="M7" s="366" t="n"/>
      <c r="N7" s="362" t="n"/>
      <c r="O7" s="293" t="n"/>
      <c r="P7" s="293" t="n"/>
      <c r="Q7" s="293" t="n"/>
      <c r="R7" s="293" t="n"/>
      <c r="S7" s="293" t="n"/>
      <c r="T7" s="293" t="n"/>
      <c r="U7" s="293" t="n"/>
      <c r="V7" s="293" t="n"/>
      <c r="W7" s="293" t="n"/>
      <c r="X7" s="293" t="n"/>
      <c r="Y7" s="293" t="n"/>
      <c r="Z7" s="293" t="n"/>
      <c r="AA7" s="293" t="n"/>
      <c r="AB7" s="293" t="n"/>
      <c r="AC7" s="293" t="n"/>
    </row>
    <row r="8">
      <c r="A8" s="209" t="inlineStr">
        <is>
          <t>Số testcase không đạt (Fail)</t>
        </is>
      </c>
      <c r="B8" s="673" t="n"/>
      <c r="C8" s="439">
        <f>COUNTIF($K$15:$K$257,"Fail")</f>
        <v/>
      </c>
      <c r="D8" s="366" t="n"/>
      <c r="E8" s="366" t="n"/>
      <c r="F8" s="366" t="n"/>
      <c r="G8" s="366" t="n"/>
      <c r="H8" s="366" t="n"/>
      <c r="I8" s="366" t="n"/>
      <c r="J8" s="366" t="n"/>
      <c r="K8" s="366" t="n"/>
      <c r="L8" s="366" t="n"/>
      <c r="M8" s="366" t="n"/>
      <c r="N8" s="362" t="n"/>
      <c r="O8" s="293" t="n"/>
      <c r="P8" s="293" t="n"/>
      <c r="Q8" s="293" t="n"/>
      <c r="R8" s="293" t="n"/>
      <c r="S8" s="293" t="n"/>
      <c r="T8" s="293" t="n"/>
      <c r="U8" s="293" t="n"/>
      <c r="V8" s="293" t="n"/>
      <c r="W8" s="293" t="n"/>
      <c r="X8" s="293" t="n"/>
      <c r="Y8" s="293" t="n"/>
      <c r="Z8" s="293" t="n"/>
      <c r="AA8" s="293" t="n"/>
      <c r="AB8" s="293" t="n"/>
      <c r="AC8" s="293" t="n"/>
    </row>
    <row r="9">
      <c r="A9" s="209" t="inlineStr">
        <is>
          <t>Số testcase N/A</t>
        </is>
      </c>
      <c r="B9" s="673" t="n"/>
      <c r="C9" s="439">
        <f>COUNTIF($K$15:$K$257,"N/A")</f>
        <v/>
      </c>
      <c r="D9" s="366" t="n"/>
      <c r="E9" s="366" t="n"/>
      <c r="F9" s="366" t="n"/>
      <c r="G9" s="366" t="n"/>
      <c r="H9" s="366" t="n"/>
      <c r="I9" s="366" t="n"/>
      <c r="J9" s="366" t="n"/>
      <c r="K9" s="366" t="n"/>
      <c r="L9" s="366" t="n"/>
      <c r="M9" s="366" t="n"/>
      <c r="N9" s="362" t="n"/>
      <c r="O9" s="293" t="n"/>
      <c r="P9" s="293" t="n"/>
      <c r="Q9" s="293" t="n"/>
      <c r="R9" s="293" t="n"/>
      <c r="S9" s="293" t="n"/>
      <c r="T9" s="293" t="n"/>
      <c r="U9" s="293" t="n"/>
      <c r="V9" s="293" t="n"/>
      <c r="W9" s="293" t="n"/>
      <c r="X9" s="293" t="n"/>
      <c r="Y9" s="293" t="n"/>
      <c r="Z9" s="293" t="n"/>
      <c r="AA9" s="293" t="n"/>
      <c r="AB9" s="293" t="n"/>
      <c r="AC9" s="293" t="n"/>
    </row>
    <row r="10">
      <c r="A10" s="674" t="inlineStr">
        <is>
          <t>ID</t>
        </is>
      </c>
      <c r="B10" s="674" t="inlineStr">
        <is>
          <t>Chức năng</t>
        </is>
      </c>
      <c r="C10" s="674" t="inlineStr">
        <is>
          <t>Mục đích</t>
        </is>
      </c>
      <c r="D10" s="674" t="inlineStr">
        <is>
          <t>Các bước thực hiện kiểm thử</t>
        </is>
      </c>
      <c r="E10" s="674" t="inlineStr">
        <is>
          <t>Kết quả mong muốn</t>
        </is>
      </c>
      <c r="F10" s="674" t="inlineStr">
        <is>
          <t>Dữ liệu kiểm thử</t>
        </is>
      </c>
      <c r="G10" s="675" t="inlineStr">
        <is>
          <t>Ngày tạo TCs</t>
        </is>
      </c>
      <c r="H10" s="674" t="inlineStr">
        <is>
          <t>Người thực hiện</t>
        </is>
      </c>
      <c r="I10" s="676" t="inlineStr">
        <is>
          <t>Ngày thực hiện</t>
        </is>
      </c>
      <c r="J10" s="677" t="inlineStr">
        <is>
          <t>Log ngày Test lại</t>
        </is>
      </c>
      <c r="K10" s="676" t="inlineStr">
        <is>
          <t xml:space="preserve">Trạng thái
</t>
        </is>
      </c>
      <c r="L10" s="676" t="inlineStr">
        <is>
          <t>Test sau Upcode</t>
        </is>
      </c>
      <c r="M10" s="676" t="inlineStr">
        <is>
          <t>Ghi chú</t>
        </is>
      </c>
      <c r="N10" s="362" t="n"/>
      <c r="O10" s="293" t="n"/>
      <c r="P10" s="293" t="n"/>
      <c r="Q10" s="293" t="n"/>
      <c r="R10" s="293" t="n"/>
      <c r="S10" s="293" t="n"/>
      <c r="T10" s="293" t="n"/>
      <c r="U10" s="293" t="n"/>
      <c r="V10" s="293" t="n"/>
      <c r="W10" s="293" t="n"/>
      <c r="X10" s="293" t="n"/>
      <c r="Y10" s="293" t="n"/>
      <c r="Z10" s="293" t="n"/>
      <c r="AA10" s="293" t="n"/>
      <c r="AB10" s="293" t="n"/>
      <c r="AC10" s="293" t="n"/>
    </row>
    <row r="11">
      <c r="A11" s="678" t="n"/>
      <c r="B11" s="678" t="n"/>
      <c r="C11" s="678" t="n"/>
      <c r="D11" s="678" t="n"/>
      <c r="E11" s="678" t="n"/>
      <c r="F11" s="678" t="n"/>
      <c r="G11" s="678" t="n"/>
      <c r="H11" s="678" t="n"/>
      <c r="I11" s="678" t="n"/>
      <c r="J11" s="678" t="n"/>
      <c r="K11" s="678" t="n"/>
      <c r="L11" s="678" t="n"/>
      <c r="M11" s="678" t="n"/>
      <c r="N11" s="362" t="n"/>
      <c r="O11" s="293" t="n"/>
      <c r="P11" s="293" t="n"/>
      <c r="Q11" s="293" t="n"/>
      <c r="R11" s="293" t="n"/>
      <c r="S11" s="293" t="n"/>
      <c r="T11" s="293" t="n"/>
      <c r="U11" s="293" t="n"/>
      <c r="V11" s="293" t="n"/>
      <c r="W11" s="293" t="n"/>
      <c r="X11" s="293" t="n"/>
      <c r="Y11" s="293" t="n"/>
      <c r="Z11" s="293" t="n"/>
      <c r="AA11" s="293" t="n"/>
      <c r="AB11" s="293" t="n"/>
      <c r="AC11" s="293" t="n"/>
    </row>
    <row r="12" ht="20" customHeight="1" s="668">
      <c r="A12" s="679" t="inlineStr">
        <is>
          <t>UC1: (CMS admin) Chức năng Xem danh sách gói cước</t>
        </is>
      </c>
      <c r="B12" s="672" t="n"/>
      <c r="C12" s="673" t="n"/>
      <c r="D12" s="680" t="n"/>
      <c r="E12" s="680" t="n"/>
      <c r="F12" s="680" t="n"/>
      <c r="G12" s="680" t="n"/>
      <c r="H12" s="680" t="n"/>
      <c r="I12" s="680" t="n"/>
      <c r="J12" s="680" t="n"/>
      <c r="K12" s="680" t="n"/>
      <c r="L12" s="680" t="n"/>
      <c r="M12" s="680" t="n"/>
    </row>
    <row r="13" ht="64" customHeight="1" s="668">
      <c r="A13" s="681" t="inlineStr">
        <is>
          <t xml:space="preserve">Pre-condition: 
Bước 1: Admin đăng nhập thành công vào hệ thống CMS, tài khoản có quyền xem phân hệ Gói cước
Bước 2: Click menu Quản lý tính năng dịch vụ &gt; Quản lý gói cước &gt; Quản lý gói cước
</t>
        </is>
      </c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3" t="n"/>
    </row>
    <row r="14" ht="20" customHeight="1" s="668">
      <c r="A14" s="682" t="inlineStr">
        <is>
          <t>Kiểm tra gui UI/UX</t>
        </is>
      </c>
      <c r="B14" s="672" t="n"/>
      <c r="C14" s="672" t="n"/>
      <c r="D14" s="672" t="n"/>
      <c r="E14" s="672" t="n"/>
      <c r="F14" s="672" t="n"/>
      <c r="G14" s="672" t="n"/>
      <c r="H14" s="672" t="n"/>
      <c r="I14" s="672" t="n"/>
      <c r="J14" s="672" t="n"/>
      <c r="K14" s="673" t="n"/>
      <c r="L14" s="683" t="n"/>
      <c r="M14" s="683" t="n"/>
    </row>
    <row r="15" ht="112" customHeight="1" s="668">
      <c r="A15" s="684">
        <f>$C$4&amp;"-"&amp;TEXT(COUNTA($D$12:D15),"00")</f>
        <v/>
      </c>
      <c r="B15" s="685" t="inlineStr">
        <is>
          <t>Kiểm tra UI</t>
        </is>
      </c>
      <c r="C15" s="685" t="inlineStr">
        <is>
          <t>Kiểm tra hiển thị giao diện mặc định</t>
        </is>
      </c>
      <c r="D15" s="685" t="inlineStr">
        <is>
          <t>1. Kiểm tra hiển thị màn hình Quản lý gói cước</t>
        </is>
      </c>
      <c r="E15" s="685" t="inlineStr">
        <is>
          <t>1. Hiển thị màn hình giống design gồm:
+ Tiêu đề: Quản lý gói cước
+ Button Thêm gói cước
+ Ô tìm kiếm
+ Button Xuất file excel, Cài đặt bảng, icon Bộ lọc
+ Bảng danh sách dạng nhóm Loại gói cước - Gói cước
+ Vùng phân trang</t>
        </is>
      </c>
      <c r="F15" s="683" t="n"/>
      <c r="G15" s="686" t="inlineStr">
        <is>
          <t>24/09/2026</t>
        </is>
      </c>
      <c r="H15" s="683" t="n"/>
      <c r="I15" s="683" t="n"/>
      <c r="J15" s="683" t="n"/>
      <c r="K15" s="683" t="n"/>
      <c r="L15" s="683" t="n"/>
      <c r="M15" s="683" t="inlineStr">
        <is>
          <t>Mục QL gói cước - UC danh sách gói cước - Mô tả giao diện</t>
        </is>
      </c>
    </row>
    <row r="16" ht="96" customHeight="1" s="668">
      <c r="A16" s="684">
        <f>$C$4&amp;"-"&amp;TEXT(COUNTA($D$12:D16),"00")</f>
        <v/>
      </c>
      <c r="B16" s="687" t="n"/>
      <c r="C16" s="685" t="inlineStr">
        <is>
          <t>Kiểm tra tổng thể giao diện màn hình</t>
        </is>
      </c>
      <c r="D16" s="685" t="inlineStr">
        <is>
          <t>1. Kiểm tra về bố cục, font chữ, chính tả, màu chữ</t>
        </is>
      </c>
      <c r="E16" s="685" t="inlineStr">
        <is>
          <t>1. 
- Các label, có độ dài, rộng và khoảng cách bằng nhau, không xô lệch
- Các label sử dụng cùng 1 loại font, cỡ chữ, căn lề
- Kiểm tra tất cả lỗi về chính tả, cấu trúc câu, ngữ pháp trên màn hình
- Form được bố trí hợp lý và dễ sử dụng</t>
        </is>
      </c>
      <c r="F16" s="683" t="n"/>
      <c r="G16" s="686" t="inlineStr">
        <is>
          <t>24/09/2026</t>
        </is>
      </c>
      <c r="H16" s="683" t="n"/>
      <c r="I16" s="683" t="n"/>
      <c r="J16" s="683" t="n"/>
      <c r="K16" s="683" t="n"/>
      <c r="L16" s="683" t="n"/>
      <c r="M16" s="683" t="n"/>
    </row>
    <row r="17" ht="32" customHeight="1" s="668">
      <c r="A17" s="684">
        <f>$C$4&amp;"-"&amp;TEXT(COUNTA($D$12:D17),"00")</f>
        <v/>
      </c>
      <c r="B17" s="687" t="n"/>
      <c r="C17" s="685" t="inlineStr">
        <is>
          <t>Kiểm tra thứ tự di chuyển trỏ trên màn hình khi nhấn phím Tab</t>
        </is>
      </c>
      <c r="D17" s="685" t="inlineStr">
        <is>
          <t>1. Nhấn Tab liên tục</t>
        </is>
      </c>
      <c r="E17" s="685" t="inlineStr">
        <is>
          <t>1. Con trỏ di chuyển lần lượt theo thứ tự: Từ trái qua phải, từ trên xuống dưới</t>
        </is>
      </c>
      <c r="F17" s="683" t="n"/>
      <c r="G17" s="686" t="inlineStr">
        <is>
          <t>24/09/2026</t>
        </is>
      </c>
      <c r="H17" s="683" t="n"/>
      <c r="I17" s="683" t="n"/>
      <c r="J17" s="683" t="n"/>
      <c r="K17" s="683" t="n"/>
      <c r="L17" s="683" t="n"/>
      <c r="M17" s="683" t="n"/>
    </row>
    <row r="18" ht="32" customHeight="1" s="668">
      <c r="A18" s="684">
        <f>$C$4&amp;"-"&amp;TEXT(COUNTA($D$12:D18),"00")</f>
        <v/>
      </c>
      <c r="B18" s="687" t="n"/>
      <c r="C18" s="685" t="inlineStr">
        <is>
          <t>Kiểm tra thứ tự con trỏ di chuyển ngược lại trên màn hình khi nhấn Shift-Tab</t>
        </is>
      </c>
      <c r="D18" s="685" t="inlineStr">
        <is>
          <t>1. Nhấn phím Shift-Tab liên tục</t>
        </is>
      </c>
      <c r="E18" s="685" t="inlineStr">
        <is>
          <t>1. Con trỏ di chuyển ngược lại theo thứ tự: từ dưới lên trên, từ phải qua trái</t>
        </is>
      </c>
      <c r="F18" s="683" t="n"/>
      <c r="G18" s="686" t="inlineStr">
        <is>
          <t>24/09/2026</t>
        </is>
      </c>
      <c r="H18" s="683" t="n"/>
      <c r="I18" s="683" t="n"/>
      <c r="J18" s="683" t="n"/>
      <c r="K18" s="683" t="n"/>
      <c r="L18" s="683" t="n"/>
      <c r="M18" s="683" t="n"/>
    </row>
    <row r="19" ht="48" customHeight="1" s="668">
      <c r="A19" s="684">
        <f>$C$4&amp;"-"&amp;TEXT(COUNTA($D$12:D19),"00")</f>
        <v/>
      </c>
      <c r="B19" s="687" t="n"/>
      <c r="C19" s="685" t="inlineStr">
        <is>
          <t>Kiểm tra giao diện khi thu nhỏ, phóng to</t>
        </is>
      </c>
      <c r="D19" s="685" t="inlineStr">
        <is>
          <t>1. Trên màn hình chức năng
2. Nhấn tổ hợp phím Ctrl -
3. Nhấn tổ hợp phím Ctrl +</t>
        </is>
      </c>
      <c r="E19" s="685" t="inlineStr">
        <is>
          <t>3. Màn hình thu nhỏ, phóng to tương ứng và không bị vỡ giao diện</t>
        </is>
      </c>
      <c r="F19" s="683" t="n"/>
      <c r="G19" s="686" t="inlineStr">
        <is>
          <t>24/09/2026</t>
        </is>
      </c>
      <c r="H19" s="683" t="n"/>
      <c r="I19" s="683" t="n"/>
      <c r="J19" s="683" t="n"/>
      <c r="K19" s="683" t="n"/>
      <c r="L19" s="683" t="n"/>
      <c r="M19" s="683" t="n"/>
    </row>
    <row r="20" ht="48" customHeight="1" s="668">
      <c r="A20" s="684">
        <f>$C$4&amp;"-"&amp;TEXT(COUNTA($D$12:D20),"00")</f>
        <v/>
      </c>
      <c r="B20" s="678" t="n"/>
      <c r="C20" s="685" t="inlineStr">
        <is>
          <t>Kiểm tra hiển thị menu đang chọn trên sidebar</t>
        </is>
      </c>
      <c r="D20" s="685" t="inlineStr">
        <is>
          <t>1. Kiểm tra menu Quản lý gói cước trên sidebar</t>
        </is>
      </c>
      <c r="E20" s="685" t="inlineStr">
        <is>
          <t>1. Menu con Quản lý gói cước được highlight (đang chọn), nhóm menu Quản lý gói cước ở trạng thái mở rộng</t>
        </is>
      </c>
      <c r="F20" s="683" t="n"/>
      <c r="G20" s="686" t="inlineStr">
        <is>
          <t>24/09/2026</t>
        </is>
      </c>
      <c r="H20" s="683" t="n"/>
      <c r="I20" s="683" t="n"/>
      <c r="J20" s="683" t="n"/>
      <c r="K20" s="683" t="n"/>
      <c r="L20" s="683" t="n"/>
      <c r="M20" s="683" t="inlineStr">
        <is>
          <t>Mục QL gói cước - UC danh sách gói cước - Trigger</t>
        </is>
      </c>
    </row>
    <row r="21" ht="20" customHeight="1" s="668">
      <c r="A21" s="682" t="inlineStr">
        <is>
          <t>Vùng Tiêu đề &amp; Thanh công cụ</t>
        </is>
      </c>
      <c r="B21" s="672" t="n"/>
      <c r="C21" s="672" t="n"/>
      <c r="D21" s="672" t="n"/>
      <c r="E21" s="672" t="n"/>
      <c r="F21" s="672" t="n"/>
      <c r="G21" s="672" t="n"/>
      <c r="H21" s="672" t="n"/>
      <c r="I21" s="672" t="n"/>
      <c r="J21" s="672" t="n"/>
      <c r="K21" s="673" t="n"/>
      <c r="L21" s="683" t="n"/>
      <c r="M21" s="683" t="n"/>
    </row>
    <row r="22" ht="32" customHeight="1" s="668">
      <c r="A22" s="684">
        <f>$C$4&amp;"-"&amp;TEXT(COUNTA($D$12:D22),"00")</f>
        <v/>
      </c>
      <c r="B22" s="685" t="inlineStr">
        <is>
          <t>Tiêu đề trang</t>
        </is>
      </c>
      <c r="C22" s="685" t="inlineStr">
        <is>
          <t>Kiểm tra text tiêu đề trang</t>
        </is>
      </c>
      <c r="D22" s="685" t="inlineStr">
        <is>
          <t>1. Kiểm tra tiêu đề màn hình</t>
        </is>
      </c>
      <c r="E22" s="685" t="inlineStr">
        <is>
          <t>1. Hiển thị tiêu đề: Quản lý gói cước</t>
        </is>
      </c>
      <c r="F22" s="683" t="n"/>
      <c r="G22" s="686" t="inlineStr">
        <is>
          <t>24/09/2026</t>
        </is>
      </c>
      <c r="H22" s="683" t="n"/>
      <c r="I22" s="683" t="n"/>
      <c r="J22" s="683" t="n"/>
      <c r="K22" s="683" t="n"/>
      <c r="L22" s="683" t="n"/>
      <c r="M22" s="683" t="inlineStr">
        <is>
          <t>Mục QL gói cước - UC danh sách gói cước STT 1</t>
        </is>
      </c>
    </row>
    <row r="23" ht="32" customHeight="1" s="668">
      <c r="A23" s="684">
        <f>$C$4&amp;"-"&amp;TEXT(COUNTA($D$12:D23),"00")</f>
        <v/>
      </c>
      <c r="B23" s="685" t="inlineStr">
        <is>
          <t>Button Thêm gói cước</t>
        </is>
      </c>
      <c r="C23" s="685" t="inlineStr">
        <is>
          <t>Kiểm tra hiển thị button Thêm gói cước</t>
        </is>
      </c>
      <c r="D23" s="685" t="inlineStr">
        <is>
          <t>1. Kiểm tra hiển thị button Thêm gói cước góc phải trên</t>
        </is>
      </c>
      <c r="E23" s="685" t="inlineStr">
        <is>
          <t>1. Hiển thị button text "Thêm gói cước", trạng thái enable</t>
        </is>
      </c>
      <c r="F23" s="683" t="n"/>
      <c r="G23" s="686" t="inlineStr">
        <is>
          <t>24/09/2026</t>
        </is>
      </c>
      <c r="H23" s="683" t="n"/>
      <c r="I23" s="683" t="n"/>
      <c r="J23" s="683" t="n"/>
      <c r="K23" s="683" t="n"/>
      <c r="L23" s="683" t="n"/>
      <c r="M23" s="683" t="inlineStr">
        <is>
          <t>Mục QL gói cước - UC danh sách gói cước STT 2</t>
        </is>
      </c>
    </row>
    <row r="24" ht="64" customHeight="1" s="668">
      <c r="A24" s="684">
        <f>$C$4&amp;"-"&amp;TEXT(COUNTA($D$12:D24),"00")</f>
        <v/>
      </c>
      <c r="B24" s="678" t="n"/>
      <c r="C24" s="685" t="inlineStr">
        <is>
          <t>Kiểm tra khi click button Thêm gói cước trên thanh công cụ</t>
        </is>
      </c>
      <c r="D24" s="685" t="inlineStr">
        <is>
          <t>1. Click button Thêm gói cước</t>
        </is>
      </c>
      <c r="E24" s="685" t="inlineStr">
        <is>
          <t>1. 
- Điều hướng đến màn Tạo gói cước mới
- Trường Loại gói cước để trống, cho phép chọn loại gói</t>
        </is>
      </c>
      <c r="F24" s="683" t="n"/>
      <c r="G24" s="686" t="inlineStr">
        <is>
          <t>24/09/2026</t>
        </is>
      </c>
      <c r="H24" s="683" t="n"/>
      <c r="I24" s="683" t="n"/>
      <c r="J24" s="683" t="n"/>
      <c r="K24" s="683" t="n"/>
      <c r="L24" s="683" t="n"/>
      <c r="M24" s="683" t="inlineStr">
        <is>
          <t>Mục QL gói cước - UC danh sách gói cước STT 2; Mục QL gói cước - UC2 tạo mới gói cước STT 13 Th2</t>
        </is>
      </c>
    </row>
    <row r="25" ht="80" customHeight="1" s="668">
      <c r="A25" s="684">
        <f>$C$4&amp;"-"&amp;TEXT(COUNTA($D$12:D25),"00")</f>
        <v/>
      </c>
      <c r="B25" s="685" t="inlineStr">
        <is>
          <t>Ô tìm kiếm</t>
        </is>
      </c>
      <c r="C25" s="685" t="inlineStr">
        <is>
          <t>Kiểm tra hiển thị mặc định ô tìm kiếm</t>
        </is>
      </c>
      <c r="D25" s="685" t="inlineStr">
        <is>
          <t>1. Kiểm tra ô tìm kiếm</t>
        </is>
      </c>
      <c r="E25" s="685" t="inlineStr">
        <is>
          <t>1. Mặc định trống, hiển thị placeholder: "Tìm kiếm theo tên, mã gói cước"</t>
        </is>
      </c>
      <c r="F25" s="683" t="n"/>
      <c r="G25" s="686" t="inlineStr">
        <is>
          <t>24/09/2026</t>
        </is>
      </c>
      <c r="H25" s="683" t="n"/>
      <c r="I25" s="683" t="n"/>
      <c r="J25" s="683" t="n"/>
      <c r="K25" s="683" t="n"/>
      <c r="L25" s="683" t="n"/>
      <c r="M25" s="683" t="inlineStr">
        <is>
          <t>Mục QL gói cước - UC danh sách gói cước STT 3. Design placeholder "Tìm kiếm theo tên, mã gói cước,..." - lệch dấu "...", Cần BA confirm</t>
        </is>
      </c>
    </row>
    <row r="26" ht="64" customHeight="1" s="668">
      <c r="A26" s="684">
        <f>$C$4&amp;"-"&amp;TEXT(COUNTA($D$12:D26),"00")</f>
        <v/>
      </c>
      <c r="B26" s="678" t="n"/>
      <c r="C26" s="685" t="inlineStr">
        <is>
          <t>Kiểm tra nhập dữ liệu vào ô tìm kiếm</t>
        </is>
      </c>
      <c r="D26" s="685" t="inlineStr">
        <is>
          <t>1. Nhập "OAPLUS" vào ô tìm kiếm</t>
        </is>
      </c>
      <c r="E26" s="685" t="inlineStr">
        <is>
          <t>1. Cho phép nhập, hiển thị đúng dữ liệu vừa nhập</t>
        </is>
      </c>
      <c r="F26" s="683" t="inlineStr">
        <is>
          <t>OAPLUS</t>
        </is>
      </c>
      <c r="G26" s="686" t="inlineStr">
        <is>
          <t>24/09/2026</t>
        </is>
      </c>
      <c r="H26" s="683" t="n"/>
      <c r="I26" s="683" t="n"/>
      <c r="J26" s="683" t="n"/>
      <c r="K26" s="683" t="n"/>
      <c r="L26" s="683" t="n"/>
      <c r="M26" s="683" t="inlineStr">
        <is>
          <t>Chức năng tìm kiếm mô tả tại UC tìm kiếm riêng (SRS: "theo UC...") - chỉ test hiển thị/nhập liệu</t>
        </is>
      </c>
    </row>
    <row r="27" ht="48" customHeight="1" s="668">
      <c r="A27" s="684">
        <f>$C$4&amp;"-"&amp;TEXT(COUNTA($D$12:D27),"00")</f>
        <v/>
      </c>
      <c r="B27" s="685" t="inlineStr">
        <is>
          <t>Button Xuất file excel</t>
        </is>
      </c>
      <c r="C27" s="685" t="inlineStr">
        <is>
          <t>Kiểm tra hiển thị button Xuất file excel</t>
        </is>
      </c>
      <c r="D27" s="685" t="inlineStr">
        <is>
          <t>1. Kiểm tra button Xuất file excel</t>
        </is>
      </c>
      <c r="E27" s="685" t="inlineStr">
        <is>
          <t>1. Hiển thị button viền, icon bảng tính màu xanh lá + text "Xuất file excel", trạng thái enable</t>
        </is>
      </c>
      <c r="F27" s="683" t="n"/>
      <c r="G27" s="686" t="inlineStr">
        <is>
          <t>24/09/2026</t>
        </is>
      </c>
      <c r="H27" s="683" t="n"/>
      <c r="I27" s="683" t="n"/>
      <c r="J27" s="683" t="n"/>
      <c r="K27" s="683" t="n"/>
      <c r="L27" s="683" t="n"/>
      <c r="M27" s="683" t="inlineStr">
        <is>
          <t>Mục QL gói cước - UC danh sách gói cước STT 4</t>
        </is>
      </c>
    </row>
    <row r="28" ht="64" customHeight="1" s="668">
      <c r="A28" s="684">
        <f>$C$4&amp;"-"&amp;TEXT(COUNTA($D$12:D28),"00")</f>
        <v/>
      </c>
      <c r="B28" s="678" t="n"/>
      <c r="C28" s="685" t="inlineStr">
        <is>
          <t>Kiểm tra khi click button Xuất file excel</t>
        </is>
      </c>
      <c r="D28" s="685" t="inlineStr">
        <is>
          <t>1. Click button Xuất file excel</t>
        </is>
      </c>
      <c r="E28" s="685" t="inlineStr">
        <is>
          <t>1. Thực hiện chức năng xuất file excel theo UC Xuất file excel</t>
        </is>
      </c>
      <c r="F28" s="683" t="n"/>
      <c r="G28" s="686" t="inlineStr">
        <is>
          <t>24/09/2026</t>
        </is>
      </c>
      <c r="H28" s="683" t="n"/>
      <c r="I28" s="683" t="n"/>
      <c r="J28" s="683" t="n"/>
      <c r="K28" s="683" t="n"/>
      <c r="L28" s="683" t="n"/>
      <c r="M28" s="683" t="inlineStr">
        <is>
          <t>Mục QL gói cước - UC danh sách gói cước STT 4 - SRS chưa mô tả UC xuất excel, Cần BA confirm</t>
        </is>
      </c>
    </row>
    <row r="29" ht="32" customHeight="1" s="668">
      <c r="A29" s="684">
        <f>$C$4&amp;"-"&amp;TEXT(COUNTA($D$12:D29),"00")</f>
        <v/>
      </c>
      <c r="B29" s="685" t="inlineStr">
        <is>
          <t>Button Cài đặt bảng</t>
        </is>
      </c>
      <c r="C29" s="685" t="inlineStr">
        <is>
          <t>Kiểm tra hiển thị button Cài đặt bảng</t>
        </is>
      </c>
      <c r="D29" s="685" t="inlineStr">
        <is>
          <t>1. Kiểm tra button Cài đặt bảng</t>
        </is>
      </c>
      <c r="E29" s="685" t="inlineStr">
        <is>
          <t>1. Hiển thị button viền, icon bánh răng + text "Cài đặt bảng", trạng thái enable</t>
        </is>
      </c>
      <c r="F29" s="683" t="n"/>
      <c r="G29" s="686" t="inlineStr">
        <is>
          <t>24/09/2026</t>
        </is>
      </c>
      <c r="H29" s="683" t="n"/>
      <c r="I29" s="683" t="n"/>
      <c r="J29" s="683" t="n"/>
      <c r="K29" s="683" t="n"/>
      <c r="L29" s="683" t="n"/>
      <c r="M29" s="683" t="inlineStr">
        <is>
          <t>Mục QL gói cước - UC danh sách gói cước STT 5</t>
        </is>
      </c>
    </row>
    <row r="30" ht="48" customHeight="1" s="668">
      <c r="A30" s="684">
        <f>$C$4&amp;"-"&amp;TEXT(COUNTA($D$12:D30),"00")</f>
        <v/>
      </c>
      <c r="B30" s="678" t="n"/>
      <c r="C30" s="685" t="inlineStr">
        <is>
          <t>Kiểm tra khi click button Cài đặt bảng</t>
        </is>
      </c>
      <c r="D30" s="685" t="inlineStr">
        <is>
          <t>1. Click button Cài đặt bảng</t>
        </is>
      </c>
      <c r="E30" s="685" t="inlineStr">
        <is>
          <t>1. Hiển thị popup cấu hình ẩn/hiện các cột dữ liệu của bảng danh sách gói cước</t>
        </is>
      </c>
      <c r="F30" s="683" t="n"/>
      <c r="G30" s="686" t="inlineStr">
        <is>
          <t>24/09/2026</t>
        </is>
      </c>
      <c r="H30" s="683" t="n"/>
      <c r="I30" s="683" t="n"/>
      <c r="J30" s="683" t="n"/>
      <c r="K30" s="683" t="n"/>
      <c r="L30" s="683" t="n"/>
      <c r="M30" s="683" t="inlineStr">
        <is>
          <t>Mục QL gói cước - UC danh sách gói cước STT 5 - Chi tiết popup mô tả tại UC riêng</t>
        </is>
      </c>
    </row>
    <row r="31" ht="32" customHeight="1" s="668">
      <c r="A31" s="684">
        <f>$C$4&amp;"-"&amp;TEXT(COUNTA($D$12:D31),"00")</f>
        <v/>
      </c>
      <c r="B31" s="685" t="inlineStr">
        <is>
          <t>Icon Bộ lọc</t>
        </is>
      </c>
      <c r="C31" s="685" t="inlineStr">
        <is>
          <t>Kiểm tra hiển thị icon Bộ lọc</t>
        </is>
      </c>
      <c r="D31" s="685" t="inlineStr">
        <is>
          <t>1. Kiểm tra icon Bộ lọc</t>
        </is>
      </c>
      <c r="E31" s="685" t="inlineStr">
        <is>
          <t>1. Hiển thị icon phễu lọc, trạng thái enable</t>
        </is>
      </c>
      <c r="F31" s="683" t="n"/>
      <c r="G31" s="686" t="inlineStr">
        <is>
          <t>24/09/2026</t>
        </is>
      </c>
      <c r="H31" s="683" t="n"/>
      <c r="I31" s="683" t="n"/>
      <c r="J31" s="683" t="n"/>
      <c r="K31" s="683" t="n"/>
      <c r="L31" s="683" t="n"/>
      <c r="M31" s="683" t="inlineStr">
        <is>
          <t>Mục QL gói cước - UC danh sách gói cước STT 6</t>
        </is>
      </c>
    </row>
    <row r="32" ht="48" customHeight="1" s="668">
      <c r="A32" s="684">
        <f>$C$4&amp;"-"&amp;TEXT(COUNTA($D$12:D32),"00")</f>
        <v/>
      </c>
      <c r="B32" s="678" t="n"/>
      <c r="C32" s="685" t="inlineStr">
        <is>
          <t>Kiểm tra khi click icon Bộ lọc</t>
        </is>
      </c>
      <c r="D32" s="685" t="inlineStr">
        <is>
          <t>1. Click icon Bộ lọc</t>
        </is>
      </c>
      <c r="E32" s="685" t="inlineStr">
        <is>
          <t>1. Mở tab bộ lọc</t>
        </is>
      </c>
      <c r="F32" s="683" t="n"/>
      <c r="G32" s="686" t="inlineStr">
        <is>
          <t>24/09/2026</t>
        </is>
      </c>
      <c r="H32" s="683" t="n"/>
      <c r="I32" s="683" t="n"/>
      <c r="J32" s="683" t="n"/>
      <c r="K32" s="683" t="n"/>
      <c r="L32" s="683" t="n"/>
      <c r="M32" s="683" t="inlineStr">
        <is>
          <t>Mục QL gói cước - UC danh sách gói cước STT 6 - Chi tiết bộ lọc mô tả tại UC riêng</t>
        </is>
      </c>
    </row>
    <row r="33" ht="20" customHeight="1" s="668">
      <c r="A33" s="682" t="inlineStr">
        <is>
          <t>Vùng danh sách - Dòng cha Loại gói cước</t>
        </is>
      </c>
      <c r="B33" s="672" t="n"/>
      <c r="C33" s="672" t="n"/>
      <c r="D33" s="672" t="n"/>
      <c r="E33" s="672" t="n"/>
      <c r="F33" s="672" t="n"/>
      <c r="G33" s="672" t="n"/>
      <c r="H33" s="672" t="n"/>
      <c r="I33" s="672" t="n"/>
      <c r="J33" s="672" t="n"/>
      <c r="K33" s="673" t="n"/>
      <c r="L33" s="683" t="n"/>
      <c r="M33" s="683" t="n"/>
    </row>
    <row r="34" ht="48" customHeight="1" s="668">
      <c r="A34" s="684">
        <f>$C$4&amp;"-"&amp;TEXT(COUNTA($D$12:D34),"00")</f>
        <v/>
      </c>
      <c r="B34" s="685" t="inlineStr">
        <is>
          <t>Danh sách chưa có dữ liệu</t>
        </is>
      </c>
      <c r="C34" s="685" t="inlineStr">
        <is>
          <t>Kiểm tra hiển thị khi hệ thống chưa có loại gói cước nào</t>
        </is>
      </c>
      <c r="D34" s="685" t="inlineStr">
        <is>
          <t>ĐK: Hệ thống chưa có loại gói cước nào (hoặc tất cả ở trạng thái Đã xoá)
1. Truy cập màn hình Quản lý gói cước
2. Kiểm tra vùng danh sách</t>
        </is>
      </c>
      <c r="E34" s="685" t="inlineStr">
        <is>
          <t>2. Không hiển thị bảng dữ liệu. Hiển thị text "Danh sách trống"</t>
        </is>
      </c>
      <c r="F34" s="683" t="n"/>
      <c r="G34" s="686" t="inlineStr">
        <is>
          <t>24/09/2026</t>
        </is>
      </c>
      <c r="H34" s="683" t="n"/>
      <c r="I34" s="683" t="n"/>
      <c r="J34" s="683" t="n"/>
      <c r="K34" s="683" t="n"/>
      <c r="L34" s="683" t="n"/>
      <c r="M34" s="683" t="inlineStr">
        <is>
          <t>Mục QL gói cước - UC danh sách gói cước - Exception 2a, BR4</t>
        </is>
      </c>
    </row>
    <row r="35" ht="48" customHeight="1" s="668">
      <c r="A35" s="684">
        <f>$C$4&amp;"-"&amp;TEXT(COUNTA($D$12:D35),"00")</f>
        <v/>
      </c>
      <c r="B35" s="685" t="inlineStr">
        <is>
          <t>Danh sách đã có dữ liệu</t>
        </is>
      </c>
      <c r="C35" s="685" t="inlineStr">
        <is>
          <t>Kiểm tra hiển thị danh sách dạng nhóm Cha - Con</t>
        </is>
      </c>
      <c r="D35" s="685" t="inlineStr">
        <is>
          <t>ĐK: Hệ thống có loại gói cước và gói cước
1. Truy cập màn hình Quản lý gói cước
2. Kiểm tra vùng danh sách</t>
        </is>
      </c>
      <c r="E35" s="685" t="inlineStr">
        <is>
          <t>2. Hiển thị danh sách dạng nhóm: dòng cha là Loại gói cước, bên dưới là bảng con gói cước trực thuộc</t>
        </is>
      </c>
      <c r="F35" s="683" t="n"/>
      <c r="G35" s="686" t="inlineStr">
        <is>
          <t>24/09/2026</t>
        </is>
      </c>
      <c r="H35" s="683" t="n"/>
      <c r="I35" s="683" t="n"/>
      <c r="J35" s="683" t="n"/>
      <c r="K35" s="683" t="n"/>
      <c r="L35" s="683" t="n"/>
      <c r="M35" s="683" t="inlineStr">
        <is>
          <t>Mục QL gói cước - UC danh sách gói cước BR_01</t>
        </is>
      </c>
    </row>
    <row r="36" ht="64" customHeight="1" s="668">
      <c r="A36" s="684">
        <f>$C$4&amp;"-"&amp;TEXT(COUNTA($D$12:D36),"00")</f>
        <v/>
      </c>
      <c r="B36" s="685" t="inlineStr">
        <is>
          <t>Trạng thái Thu gọn/Mở rộng mặc định</t>
        </is>
      </c>
      <c r="C36" s="685" t="inlineStr">
        <is>
          <t>Kiểm tra trạng thái mặc định của các dòng cha khi tải trang</t>
        </is>
      </c>
      <c r="D36" s="685" t="inlineStr">
        <is>
          <t>1. Truy cập màn hình Quản lý gói cước
2. Kiểm tra các dòng Loại gói cước</t>
        </is>
      </c>
      <c r="E36" s="685" t="inlineStr">
        <is>
          <t>2. 
- Tất cả dòng cha ở trạng thái thu gọn, chỉ thấy dòng cha
- Icon mũi tên hướng xuống ⌄</t>
        </is>
      </c>
      <c r="F36" s="683" t="n"/>
      <c r="G36" s="686" t="inlineStr">
        <is>
          <t>24/09/2026</t>
        </is>
      </c>
      <c r="H36" s="683" t="n"/>
      <c r="I36" s="683" t="n"/>
      <c r="J36" s="683" t="n"/>
      <c r="K36" s="683" t="n"/>
      <c r="L36" s="683" t="n"/>
      <c r="M36" s="683" t="inlineStr">
        <is>
          <t>Mục QL gói cước - UC danh sách gói cước BR_02, STT 7. Ảnh design đang thể hiện trạng thái mở rộng - Cần BA confirm</t>
        </is>
      </c>
    </row>
    <row r="37" ht="48" customHeight="1" s="668">
      <c r="A37" s="684">
        <f>$C$4&amp;"-"&amp;TEXT(COUNTA($D$12:D37),"00")</f>
        <v/>
      </c>
      <c r="B37" s="685" t="inlineStr">
        <is>
          <t>Nút Đóng / Mở rộng</t>
        </is>
      </c>
      <c r="C37" s="685" t="inlineStr">
        <is>
          <t>Kiểm tra click mở rộng dòng cha đang thu gọn</t>
        </is>
      </c>
      <c r="D37" s="685" t="inlineStr">
        <is>
          <t>ĐK: Dòng cha đang thu gọn
1. Click icon mũi tên ⌄ tại dòng Loại gói cước</t>
        </is>
      </c>
      <c r="E37" s="685" t="inlineStr">
        <is>
          <t>1. 
- Hiển thị bảng con danh sách gói cước thuộc loại gói đó
- Icon đổi thành mũi tên hướng lên ⌃</t>
        </is>
      </c>
      <c r="F37" s="683" t="n"/>
      <c r="G37" s="686" t="inlineStr">
        <is>
          <t>24/09/2026</t>
        </is>
      </c>
      <c r="H37" s="683" t="n"/>
      <c r="I37" s="683" t="n"/>
      <c r="J37" s="683" t="n"/>
      <c r="K37" s="683" t="n"/>
      <c r="L37" s="683" t="n"/>
      <c r="M37" s="683" t="inlineStr">
        <is>
          <t>Mục QL gói cước - UC danh sách gói cước STT 7 - Kỹ thuật: Sơ đồ chuyển trạng thái</t>
        </is>
      </c>
    </row>
    <row r="38" ht="48" customHeight="1" s="668">
      <c r="A38" s="684">
        <f>$C$4&amp;"-"&amp;TEXT(COUNTA($D$12:D38),"00")</f>
        <v/>
      </c>
      <c r="B38" s="687" t="n"/>
      <c r="C38" s="685" t="inlineStr">
        <is>
          <t>Kiểm tra click thu gọn dòng cha đang mở rộng</t>
        </is>
      </c>
      <c r="D38" s="685" t="inlineStr">
        <is>
          <t>ĐK: Dòng cha đang mở rộng
1. Click icon mũi tên ⌃ tại dòng Loại gói cước</t>
        </is>
      </c>
      <c r="E38" s="685" t="inlineStr">
        <is>
          <t>1. 
- Ẩn bảng con danh sách gói cước
- Icon đổi thành mũi tên hướng xuống ⌄</t>
        </is>
      </c>
      <c r="F38" s="683" t="n"/>
      <c r="G38" s="686" t="inlineStr">
        <is>
          <t>24/09/2026</t>
        </is>
      </c>
      <c r="H38" s="683" t="n"/>
      <c r="I38" s="683" t="n"/>
      <c r="J38" s="683" t="n"/>
      <c r="K38" s="683" t="n"/>
      <c r="L38" s="683" t="n"/>
      <c r="M38" s="683" t="inlineStr">
        <is>
          <t>Mục QL gói cước - UC danh sách gói cước STT 7 - Kỹ thuật: Sơ đồ chuyển trạng thái</t>
        </is>
      </c>
    </row>
    <row r="39" ht="32" customHeight="1" s="668">
      <c r="A39" s="684">
        <f>$C$4&amp;"-"&amp;TEXT(COUNTA($D$12:D39),"00")</f>
        <v/>
      </c>
      <c r="B39" s="687" t="n"/>
      <c r="C39" s="685" t="inlineStr">
        <is>
          <t>Kiểm tra mở rộng đồng thời nhiều dòng cha</t>
        </is>
      </c>
      <c r="D39" s="685" t="inlineStr">
        <is>
          <t>1. Click mở rộng Loại gói A
2. Click mở rộng Loại gói B</t>
        </is>
      </c>
      <c r="E39" s="685" t="inlineStr">
        <is>
          <t>2. Cả 2 dòng cha cùng mở rộng, mở dòng B không làm thu gọn dòng A</t>
        </is>
      </c>
      <c r="F39" s="683" t="n"/>
      <c r="G39" s="686" t="inlineStr">
        <is>
          <t>24/09/2026</t>
        </is>
      </c>
      <c r="H39" s="683" t="n"/>
      <c r="I39" s="683" t="n"/>
      <c r="J39" s="683" t="n"/>
      <c r="K39" s="683" t="n"/>
      <c r="L39" s="683" t="n"/>
      <c r="M39" s="683" t="inlineStr">
        <is>
          <t>Mục QL gói cước - UC danh sách gói cước STT 7</t>
        </is>
      </c>
    </row>
    <row r="40" ht="64" customHeight="1" s="668">
      <c r="A40" s="684">
        <f>$C$4&amp;"-"&amp;TEXT(COUNTA($D$12:D40),"00")</f>
        <v/>
      </c>
      <c r="B40" s="687" t="n"/>
      <c r="C40" s="685" t="inlineStr">
        <is>
          <t>Kiểm tra mở rộng loại gói cước chưa có gói cước con</t>
        </is>
      </c>
      <c r="D40" s="685" t="inlineStr">
        <is>
          <t>ĐK: Loại gói cước chưa có gói cước nào (badge = 0)
1. Click mở rộng dòng loại gói đó</t>
        </is>
      </c>
      <c r="E40" s="685" t="inlineStr">
        <is>
          <t>1. 
- Bảng con không có dòng gói cước nào
- Vẫn hiển thị link "+ Thêm gói cước"</t>
        </is>
      </c>
      <c r="F40" s="683" t="n"/>
      <c r="G40" s="686" t="inlineStr">
        <is>
          <t>24/09/2026</t>
        </is>
      </c>
      <c r="H40" s="683" t="n"/>
      <c r="I40" s="683" t="n"/>
      <c r="J40" s="683" t="n"/>
      <c r="K40" s="683" t="n"/>
      <c r="L40" s="683" t="n"/>
      <c r="M40" s="683" t="inlineStr">
        <is>
          <t>Mục QL gói cước - UC danh sách gói cước STT 7, 23 - SRS chưa mô tả hiển thị bảng con rỗng, Cần BA confirm</t>
        </is>
      </c>
    </row>
    <row r="41" ht="32" customHeight="1" s="668">
      <c r="A41" s="684">
        <f>$C$4&amp;"-"&amp;TEXT(COUNTA($D$12:D41),"00")</f>
        <v/>
      </c>
      <c r="B41" s="678" t="n"/>
      <c r="C41" s="685" t="inlineStr">
        <is>
          <t>Kiểm tra trạng thái thu gọn/mở rộng sau khi tải lại trang</t>
        </is>
      </c>
      <c r="D41" s="685" t="inlineStr">
        <is>
          <t>ĐK: Đang mở rộng 1 dòng cha
1. Nhấn F5 tải lại trang</t>
        </is>
      </c>
      <c r="E41" s="685" t="inlineStr">
        <is>
          <t>1. Tất cả dòng cha trở về trạng thái thu gọn mặc định</t>
        </is>
      </c>
      <c r="F41" s="683" t="n"/>
      <c r="G41" s="686" t="inlineStr">
        <is>
          <t>24/09/2026</t>
        </is>
      </c>
      <c r="H41" s="683" t="n"/>
      <c r="I41" s="683" t="n"/>
      <c r="J41" s="683" t="n"/>
      <c r="K41" s="683" t="n"/>
      <c r="L41" s="683" t="n"/>
      <c r="M41" s="683" t="inlineStr">
        <is>
          <t>Mục QL gói cước - UC danh sách gói cước BR_02</t>
        </is>
      </c>
    </row>
    <row r="42" ht="48" customHeight="1" s="668">
      <c r="A42" s="684">
        <f>$C$4&amp;"-"&amp;TEXT(COUNTA($D$12:D42),"00")</f>
        <v/>
      </c>
      <c r="B42" s="685" t="inlineStr">
        <is>
          <t>Loại gói cước</t>
        </is>
      </c>
      <c r="C42" s="685" t="inlineStr">
        <is>
          <t>Kiểm tra hiển thị tên loại gói cước trên dòng cha</t>
        </is>
      </c>
      <c r="D42" s="685" t="inlineStr">
        <is>
          <t>1. Kiểm tra thông tin tên loại gói trên dòng cha</t>
        </is>
      </c>
      <c r="E42" s="685" t="inlineStr">
        <is>
          <t>1. Hiển thị "Tên loại gói: &lt;Tên loại gói cước&gt;" đúng dữ liệu đã tạo tại Quản lý loại gói cước</t>
        </is>
      </c>
      <c r="F42" s="683" t="inlineStr">
        <is>
          <t>Plus OA Business</t>
        </is>
      </c>
      <c r="G42" s="686" t="inlineStr">
        <is>
          <t>24/09/2026</t>
        </is>
      </c>
      <c r="H42" s="683" t="n"/>
      <c r="I42" s="683" t="n"/>
      <c r="J42" s="683" t="n"/>
      <c r="K42" s="683" t="n"/>
      <c r="L42" s="683" t="n"/>
      <c r="M42" s="683" t="inlineStr">
        <is>
          <t>Mục QL gói cước - UC danh sách gói cước STT 8</t>
        </is>
      </c>
    </row>
    <row r="43" ht="48" customHeight="1" s="668">
      <c r="A43" s="684">
        <f>$C$4&amp;"-"&amp;TEXT(COUNTA($D$12:D43),"00")</f>
        <v/>
      </c>
      <c r="B43" s="687" t="n"/>
      <c r="C43" s="685" t="inlineStr">
        <is>
          <t>Kiểm tra dòng cha chỉ hiển thị loại gói cước khác trạng thái Đã xoá</t>
        </is>
      </c>
      <c r="D43" s="685" t="inlineStr">
        <is>
          <t>ĐK: Có loại gói A trạng thái Đang hoạt động, loại gói B trạng thái Đã xoá
1. Kiểm tra danh sách dòng cha</t>
        </is>
      </c>
      <c r="E43" s="685" t="inlineStr">
        <is>
          <t>1. 
- Hiển thị loại gói A
- Không hiển thị loại gói B</t>
        </is>
      </c>
      <c r="F43" s="683" t="n"/>
      <c r="G43" s="686" t="inlineStr">
        <is>
          <t>24/09/2026</t>
        </is>
      </c>
      <c r="H43" s="683" t="n"/>
      <c r="I43" s="683" t="n"/>
      <c r="J43" s="683" t="n"/>
      <c r="K43" s="683" t="n"/>
      <c r="L43" s="683" t="n"/>
      <c r="M43" s="683" t="inlineStr">
        <is>
          <t>Mục QL gói cước - UC danh sách gói cước BR_01 - Kỹ thuật: Phân vùng tương đương</t>
        </is>
      </c>
    </row>
    <row r="44" ht="48" customHeight="1" s="668">
      <c r="A44" s="684">
        <f>$C$4&amp;"-"&amp;TEXT(COUNTA($D$12:D44),"00")</f>
        <v/>
      </c>
      <c r="B44" s="687" t="n"/>
      <c r="C44" s="685" t="inlineStr">
        <is>
          <t>Kiểm tra loại gói cước vừa bị xoá biến mất khỏi danh sách</t>
        </is>
      </c>
      <c r="D44" s="685" t="inlineStr">
        <is>
          <t>ĐK: Loại gói A đang hiển thị
1. Xoá loại gói A tại Quản lý loại gói cước
2. Quay lại màn Quản lý gói cước</t>
        </is>
      </c>
      <c r="E44" s="685" t="inlineStr">
        <is>
          <t>2. Không còn hiển thị dòng cha loại gói A</t>
        </is>
      </c>
      <c r="F44" s="683" t="n"/>
      <c r="G44" s="686" t="inlineStr">
        <is>
          <t>24/09/2026</t>
        </is>
      </c>
      <c r="H44" s="683" t="n"/>
      <c r="I44" s="683" t="n"/>
      <c r="J44" s="683" t="n"/>
      <c r="K44" s="683" t="n"/>
      <c r="L44" s="683" t="n"/>
      <c r="M44" s="683" t="inlineStr">
        <is>
          <t>Mục QL gói cước - UC danh sách gói cước BR_01 - Kỹ thuật: Sơ đồ chuyển trạng thái</t>
        </is>
      </c>
    </row>
    <row r="45" ht="32" customHeight="1" s="668">
      <c r="A45" s="684">
        <f>$C$4&amp;"-"&amp;TEXT(COUNTA($D$12:D45),"00")</f>
        <v/>
      </c>
      <c r="B45" s="687" t="n"/>
      <c r="C45" s="685" t="inlineStr">
        <is>
          <t>Kiểm tra loại gói cước mới tạo hiển thị trên danh sách</t>
        </is>
      </c>
      <c r="D45" s="685" t="inlineStr">
        <is>
          <t>1. Tạo mới loại gói cước tại Quản lý loại gói cước
2. Quay lại màn Quản lý gói cước</t>
        </is>
      </c>
      <c r="E45" s="685" t="inlineStr">
        <is>
          <t>2. Hiển thị dòng cha loại gói vừa tạo, badge số lượng = 0, đúng vị trí sắp xếp mặc định</t>
        </is>
      </c>
      <c r="F45" s="683" t="n"/>
      <c r="G45" s="686" t="inlineStr">
        <is>
          <t>24/09/2026</t>
        </is>
      </c>
      <c r="H45" s="683" t="n"/>
      <c r="I45" s="683" t="n"/>
      <c r="J45" s="683" t="n"/>
      <c r="K45" s="683" t="n"/>
      <c r="L45" s="683" t="n"/>
      <c r="M45" s="683" t="inlineStr">
        <is>
          <t>Mục QL gói cước - UC danh sách gói cước BR_01</t>
        </is>
      </c>
    </row>
    <row r="46" ht="64" customHeight="1" s="668">
      <c r="A46" s="684">
        <f>$C$4&amp;"-"&amp;TEXT(COUNTA($D$12:D46),"00")</f>
        <v/>
      </c>
      <c r="B46" s="678" t="n"/>
      <c r="C46" s="685" t="inlineStr">
        <is>
          <t>Kiểm tra thứ tự hiển thị mặc định các dòng cha</t>
        </is>
      </c>
      <c r="D46" s="685" t="inlineStr">
        <is>
          <t>ĐK: Có nhiều loại gói cước thuộc loại dịch vụ khác nhau (OA, Meeting, Thiết bị)
1. Kiểm tra thứ tự dòng cha</t>
        </is>
      </c>
      <c r="E46" s="685" t="inlineStr">
        <is>
          <t>1. Thứ tự mặc định sắp xếp theo tên loại dịch vụ từ A-Z</t>
        </is>
      </c>
      <c r="F46" s="683" t="n"/>
      <c r="G46" s="686" t="inlineStr">
        <is>
          <t>24/09/2026</t>
        </is>
      </c>
      <c r="H46" s="683" t="n"/>
      <c r="I46" s="683" t="n"/>
      <c r="J46" s="683" t="n"/>
      <c r="K46" s="683" t="n"/>
      <c r="L46" s="683" t="n"/>
      <c r="M46" s="683" t="inlineStr">
        <is>
          <t>Mục QL gói cước - UC danh sách gói cước BR_01 - SRS chưa nêu thứ tự phụ khi cùng loại dịch vụ, Cần BA confirm</t>
        </is>
      </c>
    </row>
    <row r="47" ht="32" customHeight="1" s="668">
      <c r="A47" s="684">
        <f>$C$4&amp;"-"&amp;TEXT(COUNTA($D$12:D47),"00")</f>
        <v/>
      </c>
      <c r="B47" s="685" t="inlineStr">
        <is>
          <t>Badge số lượng</t>
        </is>
      </c>
      <c r="C47" s="685" t="inlineStr">
        <is>
          <t>Kiểm tra badge số lượng gói cước của loại gói</t>
        </is>
      </c>
      <c r="D47" s="685" t="inlineStr">
        <is>
          <t>ĐK: Loại gói A có 3 gói cước khác trạng thái Đã xoá
1. Kiểm tra badge cạnh tên loại gói A</t>
        </is>
      </c>
      <c r="E47" s="685" t="inlineStr">
        <is>
          <t>1. Badge hiển thị số 3</t>
        </is>
      </c>
      <c r="F47" s="683" t="n"/>
      <c r="G47" s="686" t="inlineStr">
        <is>
          <t>24/09/2026</t>
        </is>
      </c>
      <c r="H47" s="683" t="n"/>
      <c r="I47" s="683" t="n"/>
      <c r="J47" s="683" t="n"/>
      <c r="K47" s="683" t="n"/>
      <c r="L47" s="683" t="n"/>
      <c r="M47" s="683" t="inlineStr">
        <is>
          <t>Mục QL gói cước - UC danh sách gói cước STT 9</t>
        </is>
      </c>
    </row>
    <row r="48" ht="48" customHeight="1" s="668">
      <c r="A48" s="684">
        <f>$C$4&amp;"-"&amp;TEXT(COUNTA($D$12:D48),"00")</f>
        <v/>
      </c>
      <c r="B48" s="687" t="n"/>
      <c r="C48" s="685" t="inlineStr">
        <is>
          <t>Kiểm tra badge không tính gói cước trạng thái Đã xoá</t>
        </is>
      </c>
      <c r="D48" s="685" t="inlineStr">
        <is>
          <t>ĐK: Loại gói A có 3 gói (Nháp, Đang kinh doanh, Ngừng kinh doanh) và 1 gói Đã xoá
1. Kiểm tra badge</t>
        </is>
      </c>
      <c r="E48" s="685" t="inlineStr">
        <is>
          <t>1. Badge hiển thị số 3</t>
        </is>
      </c>
      <c r="F48" s="683" t="n"/>
      <c r="G48" s="686" t="inlineStr">
        <is>
          <t>24/09/2026</t>
        </is>
      </c>
      <c r="H48" s="683" t="n"/>
      <c r="I48" s="683" t="n"/>
      <c r="J48" s="683" t="n"/>
      <c r="K48" s="683" t="n"/>
      <c r="L48" s="683" t="n"/>
      <c r="M48" s="683" t="inlineStr">
        <is>
          <t>Mục QL gói cước - UC danh sách gói cước STT 9 - Kỹ thuật: Phân vùng tương đương</t>
        </is>
      </c>
    </row>
    <row r="49" ht="48" customHeight="1" s="668">
      <c r="A49" s="684">
        <f>$C$4&amp;"-"&amp;TEXT(COUNTA($D$12:D49),"00")</f>
        <v/>
      </c>
      <c r="B49" s="687" t="n"/>
      <c r="C49" s="685" t="inlineStr">
        <is>
          <t>Kiểm tra badge cập nhật sau khi thêm mới gói cước</t>
        </is>
      </c>
      <c r="D49" s="685" t="inlineStr">
        <is>
          <t>ĐK: Badge loại gói A đang là X
1. Tạo mới 1 gói cước thuộc loại gói A
2. Quay lại danh sách</t>
        </is>
      </c>
      <c r="E49" s="685" t="inlineStr">
        <is>
          <t>2. Badge loại gói A hiển thị X+1</t>
        </is>
      </c>
      <c r="F49" s="683" t="n"/>
      <c r="G49" s="686" t="inlineStr">
        <is>
          <t>24/09/2026</t>
        </is>
      </c>
      <c r="H49" s="683" t="n"/>
      <c r="I49" s="683" t="n"/>
      <c r="J49" s="683" t="n"/>
      <c r="K49" s="683" t="n"/>
      <c r="L49" s="683" t="n"/>
      <c r="M49" s="683" t="inlineStr">
        <is>
          <t>Mục QL gói cước - UC danh sách gói cước STT 9</t>
        </is>
      </c>
    </row>
    <row r="50" ht="48" customHeight="1" s="668">
      <c r="A50" s="684">
        <f>$C$4&amp;"-"&amp;TEXT(COUNTA($D$12:D50),"00")</f>
        <v/>
      </c>
      <c r="B50" s="687" t="n"/>
      <c r="C50" s="685" t="inlineStr">
        <is>
          <t>Kiểm tra badge cập nhật sau khi xoá gói cước</t>
        </is>
      </c>
      <c r="D50" s="685" t="inlineStr">
        <is>
          <t>ĐK: Badge loại gói A đang là X
1. Xoá 1 gói cước Nháp thuộc loại gói A
2. Kiểm tra badge</t>
        </is>
      </c>
      <c r="E50" s="685" t="inlineStr">
        <is>
          <t>2. Badge loại gói A hiển thị X-1</t>
        </is>
      </c>
      <c r="F50" s="683" t="n"/>
      <c r="G50" s="686" t="inlineStr">
        <is>
          <t>24/09/2026</t>
        </is>
      </c>
      <c r="H50" s="683" t="n"/>
      <c r="I50" s="683" t="n"/>
      <c r="J50" s="683" t="n"/>
      <c r="K50" s="683" t="n"/>
      <c r="L50" s="683" t="n"/>
      <c r="M50" s="683" t="inlineStr">
        <is>
          <t>Mục QL gói cước - UC danh sách gói cước STT 9</t>
        </is>
      </c>
    </row>
    <row r="51" ht="48" customHeight="1" s="668">
      <c r="A51" s="684">
        <f>$C$4&amp;"-"&amp;TEXT(COUNTA($D$12:D51),"00")</f>
        <v/>
      </c>
      <c r="B51" s="678" t="n"/>
      <c r="C51" s="685" t="inlineStr">
        <is>
          <t>Kiểm tra badge khi loại gói chưa có gói cước</t>
        </is>
      </c>
      <c r="D51" s="685" t="inlineStr">
        <is>
          <t>ĐK: Loại gói A chưa có gói cước
1. Kiểm tra badge</t>
        </is>
      </c>
      <c r="E51" s="685" t="inlineStr">
        <is>
          <t>1. Badge hiển thị số 0</t>
        </is>
      </c>
      <c r="F51" s="683" t="n"/>
      <c r="G51" s="686" t="inlineStr">
        <is>
          <t>24/09/2026</t>
        </is>
      </c>
      <c r="H51" s="683" t="n"/>
      <c r="I51" s="683" t="n"/>
      <c r="J51" s="683" t="n"/>
      <c r="K51" s="683" t="n"/>
      <c r="L51" s="683" t="n"/>
      <c r="M51" s="683" t="inlineStr">
        <is>
          <t>Mục QL gói cước - UC danh sách gói cước STT 9 - Kỹ thuật: Phân tích giá trị biên</t>
        </is>
      </c>
    </row>
    <row r="52" ht="48" customHeight="1" s="668">
      <c r="A52" s="684">
        <f>$C$4&amp;"-"&amp;TEXT(COUNTA($D$12:D52),"00")</f>
        <v/>
      </c>
      <c r="B52" s="685" t="inlineStr">
        <is>
          <t>Loại dịch vụ</t>
        </is>
      </c>
      <c r="C52" s="685" t="inlineStr">
        <is>
          <t>Kiểm tra hiển thị loại dịch vụ trên dòng cha</t>
        </is>
      </c>
      <c r="D52" s="685" t="inlineStr">
        <is>
          <t>1. Kiểm tra thông tin loại dịch vụ</t>
        </is>
      </c>
      <c r="E52" s="685" t="inlineStr">
        <is>
          <t>1. Hiển thị "Loại dịch vụ: &lt;giá trị&gt;" đúng loại dịch vụ của loại gói cước (OA, Meeting, Thiết bị...)</t>
        </is>
      </c>
      <c r="F52" s="683" t="n"/>
      <c r="G52" s="686" t="inlineStr">
        <is>
          <t>24/09/2026</t>
        </is>
      </c>
      <c r="H52" s="683" t="n"/>
      <c r="I52" s="683" t="n"/>
      <c r="J52" s="683" t="n"/>
      <c r="K52" s="683" t="n"/>
      <c r="L52" s="683" t="n"/>
      <c r="M52" s="683" t="inlineStr">
        <is>
          <t>Mục QL gói cước - UC danh sách gói cước STT 10</t>
        </is>
      </c>
    </row>
    <row r="53" ht="48" customHeight="1" s="668">
      <c r="A53" s="684">
        <f>$C$4&amp;"-"&amp;TEXT(COUNTA($D$12:D53),"00")</f>
        <v/>
      </c>
      <c r="B53" s="685" t="inlineStr">
        <is>
          <t>Loại hình OA áp dụng</t>
        </is>
      </c>
      <c r="C53" s="685" t="inlineStr">
        <is>
          <t>Kiểm tra hiển thị Loại hình OA áp dụng khi loại dịch vụ = OA</t>
        </is>
      </c>
      <c r="D53" s="685" t="inlineStr">
        <is>
          <t>ĐK: Loại gói có loại dịch vụ = OA
1. Kiểm tra dòng cha</t>
        </is>
      </c>
      <c r="E53" s="685" t="inlineStr">
        <is>
          <t>1. Hiển thị "Loại hình OA áp dụng: &lt;tên loại hình&gt;" sắp xếp tên A-Z, cách nhau dấu ";"</t>
        </is>
      </c>
      <c r="F53" s="683" t="inlineStr">
        <is>
          <t>Doanh nghiệp; Khối nhà nước</t>
        </is>
      </c>
      <c r="G53" s="686" t="inlineStr">
        <is>
          <t>24/09/2026</t>
        </is>
      </c>
      <c r="H53" s="683" t="n"/>
      <c r="I53" s="683" t="n"/>
      <c r="J53" s="683" t="n"/>
      <c r="K53" s="683" t="n"/>
      <c r="L53" s="683" t="n"/>
      <c r="M53" s="683" t="inlineStr">
        <is>
          <t>Mục QL gói cước - UC danh sách gói cước STT 11 - Kỹ thuật: Bảng quyết định</t>
        </is>
      </c>
    </row>
    <row r="54" ht="48" customHeight="1" s="668">
      <c r="A54" s="684">
        <f>$C$4&amp;"-"&amp;TEXT(COUNTA($D$12:D54),"00")</f>
        <v/>
      </c>
      <c r="B54" s="687" t="n"/>
      <c r="C54" s="685" t="inlineStr">
        <is>
          <t>Kiểm tra ẩn Loại hình OA áp dụng khi loại dịch vụ khác OA</t>
        </is>
      </c>
      <c r="D54" s="685" t="inlineStr">
        <is>
          <t>ĐK: Loại gói có loại dịch vụ = Thiết bị
1. Kiểm tra dòng cha</t>
        </is>
      </c>
      <c r="E54" s="685" t="inlineStr">
        <is>
          <t>1. Không hiển thị thông tin Loại hình OA áp dụng</t>
        </is>
      </c>
      <c r="F54" s="683" t="n"/>
      <c r="G54" s="686" t="inlineStr">
        <is>
          <t>24/09/2026</t>
        </is>
      </c>
      <c r="H54" s="683" t="n"/>
      <c r="I54" s="683" t="n"/>
      <c r="J54" s="683" t="n"/>
      <c r="K54" s="683" t="n"/>
      <c r="L54" s="683" t="n"/>
      <c r="M54" s="683" t="inlineStr">
        <is>
          <t>Mục QL gói cước - UC danh sách gói cước STT 11 - Kỹ thuật: Bảng quyết định</t>
        </is>
      </c>
    </row>
    <row r="55" ht="48" customHeight="1" s="668">
      <c r="A55" s="684">
        <f>$C$4&amp;"-"&amp;TEXT(COUNTA($D$12:D55),"00")</f>
        <v/>
      </c>
      <c r="B55" s="687" t="n"/>
      <c r="C55" s="685" t="inlineStr">
        <is>
          <t>Kiểm tra Loại hình OA áp dụng dài quá 20 ký tự</t>
        </is>
      </c>
      <c r="D55" s="685" t="inlineStr">
        <is>
          <t>ĐK: Chuỗi loại hình OA áp dụng dài 21 ký tự
1. Kiểm tra hiển thị</t>
        </is>
      </c>
      <c r="E55" s="685" t="inlineStr">
        <is>
          <t>1. Hiển thị 20 ký tự đầu, phần còn lại thay bằng "…"</t>
        </is>
      </c>
      <c r="F55" s="683" t="inlineStr">
        <is>
          <t>Chuỗi 21 ký tự</t>
        </is>
      </c>
      <c r="G55" s="686" t="inlineStr">
        <is>
          <t>24/09/2026</t>
        </is>
      </c>
      <c r="H55" s="683" t="n"/>
      <c r="I55" s="683" t="n"/>
      <c r="J55" s="683" t="n"/>
      <c r="K55" s="683" t="n"/>
      <c r="L55" s="683" t="n"/>
      <c r="M55" s="683" t="inlineStr">
        <is>
          <t>Mục QL gói cước - UC danh sách gói cước STT 11 - Kỹ thuật: Phân tích giá trị biên</t>
        </is>
      </c>
    </row>
    <row r="56" ht="48" customHeight="1" s="668">
      <c r="A56" s="684">
        <f>$C$4&amp;"-"&amp;TEXT(COUNTA($D$12:D56),"00")</f>
        <v/>
      </c>
      <c r="B56" s="678" t="n"/>
      <c r="C56" s="685" t="inlineStr">
        <is>
          <t>Kiểm tra Loại hình OA áp dụng đúng 20 ký tự</t>
        </is>
      </c>
      <c r="D56" s="685" t="inlineStr">
        <is>
          <t>ĐK: Chuỗi loại hình OA áp dụng dài 20 ký tự
1. Kiểm tra hiển thị</t>
        </is>
      </c>
      <c r="E56" s="685" t="inlineStr">
        <is>
          <t>1. Hiển thị đầy đủ 20 ký tự, không có "…"</t>
        </is>
      </c>
      <c r="F56" s="683" t="inlineStr">
        <is>
          <t>Chuỗi 20 ký tự</t>
        </is>
      </c>
      <c r="G56" s="686" t="inlineStr">
        <is>
          <t>24/09/2026</t>
        </is>
      </c>
      <c r="H56" s="683" t="n"/>
      <c r="I56" s="683" t="n"/>
      <c r="J56" s="683" t="n"/>
      <c r="K56" s="683" t="n"/>
      <c r="L56" s="683" t="n"/>
      <c r="M56" s="683" t="inlineStr">
        <is>
          <t>Mục QL gói cước - UC danh sách gói cước STT 11 - Kỹ thuật: Phân tích giá trị biên</t>
        </is>
      </c>
    </row>
    <row r="57" ht="48" customHeight="1" s="668">
      <c r="A57" s="684">
        <f>$C$4&amp;"-"&amp;TEXT(COUNTA($D$12:D57),"00")</f>
        <v/>
      </c>
      <c r="B57" s="685" t="inlineStr">
        <is>
          <t>Danh mục OA áp dụng</t>
        </is>
      </c>
      <c r="C57" s="685" t="inlineStr">
        <is>
          <t>Kiểm tra hiển thị Danh mục OA áp dụng khi loại dịch vụ = OA</t>
        </is>
      </c>
      <c r="D57" s="685" t="inlineStr">
        <is>
          <t>ĐK: Loại gói có loại dịch vụ = OA
1. Kiểm tra dòng cha</t>
        </is>
      </c>
      <c r="E57" s="685" t="inlineStr">
        <is>
          <t>1. Hiển thị "Danh mục OA áp dụng: &lt;tên danh mục&gt;" sắp xếp tên A-Z, cách nhau dấu ";"</t>
        </is>
      </c>
      <c r="F57" s="683" t="n"/>
      <c r="G57" s="686" t="inlineStr">
        <is>
          <t>24/09/2026</t>
        </is>
      </c>
      <c r="H57" s="683" t="n"/>
      <c r="I57" s="683" t="n"/>
      <c r="J57" s="683" t="n"/>
      <c r="K57" s="683" t="n"/>
      <c r="L57" s="683" t="n"/>
      <c r="M57" s="683" t="inlineStr">
        <is>
          <t>Mục QL gói cước - UC danh sách gói cước STT 12 - Kỹ thuật: Bảng quyết định</t>
        </is>
      </c>
    </row>
    <row r="58" ht="48" customHeight="1" s="668">
      <c r="A58" s="684">
        <f>$C$4&amp;"-"&amp;TEXT(COUNTA($D$12:D58),"00")</f>
        <v/>
      </c>
      <c r="B58" s="687" t="n"/>
      <c r="C58" s="685" t="inlineStr">
        <is>
          <t>Kiểm tra ẩn Danh mục OA áp dụng khi loại dịch vụ khác OA</t>
        </is>
      </c>
      <c r="D58" s="685" t="inlineStr">
        <is>
          <t>ĐK: Loại gói có loại dịch vụ = Meeting
1. Kiểm tra dòng cha</t>
        </is>
      </c>
      <c r="E58" s="685" t="inlineStr">
        <is>
          <t>1. Không hiển thị thông tin Danh mục OA áp dụng</t>
        </is>
      </c>
      <c r="F58" s="683" t="n"/>
      <c r="G58" s="686" t="inlineStr">
        <is>
          <t>24/09/2026</t>
        </is>
      </c>
      <c r="H58" s="683" t="n"/>
      <c r="I58" s="683" t="n"/>
      <c r="J58" s="683" t="n"/>
      <c r="K58" s="683" t="n"/>
      <c r="L58" s="683" t="n"/>
      <c r="M58" s="683" t="inlineStr">
        <is>
          <t>Mục QL gói cước - UC danh sách gói cước STT 12 - Kỹ thuật: Bảng quyết định</t>
        </is>
      </c>
    </row>
    <row r="59" ht="48" customHeight="1" s="668">
      <c r="A59" s="684">
        <f>$C$4&amp;"-"&amp;TEXT(COUNTA($D$12:D59),"00")</f>
        <v/>
      </c>
      <c r="B59" s="678" t="n"/>
      <c r="C59" s="685" t="inlineStr">
        <is>
          <t>Kiểm tra Danh mục OA áp dụng dài quá 20 ký tự</t>
        </is>
      </c>
      <c r="D59" s="685" t="inlineStr">
        <is>
          <t>ĐK: Chuỗi danh mục OA áp dụng dài 21 ký tự
1. Kiểm tra hiển thị</t>
        </is>
      </c>
      <c r="E59" s="685" t="inlineStr">
        <is>
          <t>1. Hiển thị 20 ký tự đầu, phần còn lại thay bằng "…"</t>
        </is>
      </c>
      <c r="F59" s="683" t="inlineStr">
        <is>
          <t>Chuỗi 21 ký tự</t>
        </is>
      </c>
      <c r="G59" s="686" t="inlineStr">
        <is>
          <t>24/09/2026</t>
        </is>
      </c>
      <c r="H59" s="683" t="n"/>
      <c r="I59" s="683" t="n"/>
      <c r="J59" s="683" t="n"/>
      <c r="K59" s="683" t="n"/>
      <c r="L59" s="683" t="n"/>
      <c r="M59" s="683" t="inlineStr">
        <is>
          <t>Mục QL gói cước - UC danh sách gói cước STT 12 - Kỹ thuật: Phân tích giá trị biên</t>
        </is>
      </c>
    </row>
    <row r="60" ht="48" customHeight="1" s="668">
      <c r="A60" s="684">
        <f>$C$4&amp;"-"&amp;TEXT(COUNTA($D$12:D60),"00")</f>
        <v/>
      </c>
      <c r="B60" s="685" t="inlineStr">
        <is>
          <t>Phạm vi áp dụng</t>
        </is>
      </c>
      <c r="C60" s="685" t="inlineStr">
        <is>
          <t>Kiểm tra hiển thị Phạm vi áp dụng trên dòng cha</t>
        </is>
      </c>
      <c r="D60" s="685" t="inlineStr">
        <is>
          <t>1. Kiểm tra dòng cha</t>
        </is>
      </c>
      <c r="E60" s="685" t="inlineStr">
        <is>
          <t>1. Hiển thị "Phạm vi áp dụng: &lt;Tài khoản OA / Tài khoản Tammi&gt;" theo design</t>
        </is>
      </c>
      <c r="F60" s="683" t="n"/>
      <c r="G60" s="686" t="inlineStr">
        <is>
          <t>24/09/2026</t>
        </is>
      </c>
      <c r="H60" s="683" t="n"/>
      <c r="I60" s="683" t="n"/>
      <c r="J60" s="683" t="n"/>
      <c r="K60" s="683" t="n"/>
      <c r="L60" s="683" t="n"/>
      <c r="M60" s="683" t="inlineStr">
        <is>
          <t>Design có "Phạm vi áp dụng" nhưng bảng mô tả SRS không có (thiếu STT 13) - Cần BA confirm</t>
        </is>
      </c>
    </row>
    <row r="61" ht="20" customHeight="1" s="668">
      <c r="A61" s="682" t="inlineStr">
        <is>
          <t>Vùng danh sách - Bảng gói cước (dòng con)</t>
        </is>
      </c>
      <c r="B61" s="672" t="n"/>
      <c r="C61" s="672" t="n"/>
      <c r="D61" s="672" t="n"/>
      <c r="E61" s="672" t="n"/>
      <c r="F61" s="672" t="n"/>
      <c r="G61" s="672" t="n"/>
      <c r="H61" s="672" t="n"/>
      <c r="I61" s="672" t="n"/>
      <c r="J61" s="672" t="n"/>
      <c r="K61" s="673" t="n"/>
      <c r="L61" s="683" t="n"/>
      <c r="M61" s="683" t="n"/>
    </row>
    <row r="62" ht="80" customHeight="1" s="668">
      <c r="A62" s="684">
        <f>$C$4&amp;"-"&amp;TEXT(COUNTA($D$12:D62),"00")</f>
        <v/>
      </c>
      <c r="B62" s="685" t="inlineStr">
        <is>
          <t>Header bảng con</t>
        </is>
      </c>
      <c r="C62" s="685" t="inlineStr">
        <is>
          <t>Kiểm tra các cột của bảng danh sách gói cước</t>
        </is>
      </c>
      <c r="D62" s="685" t="inlineStr">
        <is>
          <t>ĐK: Mở rộng 1 dòng cha
1. Kiểm tra header bảng</t>
        </is>
      </c>
      <c r="E62" s="685" t="inlineStr">
        <is>
          <t>1. Hiển thị các cột: Mã gói, Chu kỳ, Giá gốc (VNĐ), Kênh bán, Loại hình, Trạng thái, Thời gian cập nhật, Người cập nhật, Thao tác</t>
        </is>
      </c>
      <c r="F62" s="683" t="n"/>
      <c r="G62" s="686" t="inlineStr">
        <is>
          <t>24/09/2026</t>
        </is>
      </c>
      <c r="H62" s="683" t="n"/>
      <c r="I62" s="683" t="n"/>
      <c r="J62" s="683" t="n"/>
      <c r="K62" s="683" t="n"/>
      <c r="L62" s="683" t="n"/>
      <c r="M62" s="683" t="inlineStr">
        <is>
          <t>Mục QL gói cước - UC danh sách gói cước STT 14-22. Design có thêm cột "Gia hạn tự động" không có trong SRS - Cần BA confirm</t>
        </is>
      </c>
    </row>
    <row r="63" ht="48" customHeight="1" s="668">
      <c r="A63" s="684">
        <f>$C$4&amp;"-"&amp;TEXT(COUNTA($D$12:D63),"00")</f>
        <v/>
      </c>
      <c r="B63" s="678" t="n"/>
      <c r="C63" s="685" t="inlineStr">
        <is>
          <t>Kiểm tra cột Thao tác cố định khi cuộn ngang bảng</t>
        </is>
      </c>
      <c r="D63" s="685" t="inlineStr">
        <is>
          <t>ĐK: Bảng có nhiều cột vượt độ rộng màn hình
1. Cuộn ngang bảng</t>
        </is>
      </c>
      <c r="E63" s="685" t="inlineStr">
        <is>
          <t>1. Cột Thao tác luôn hiển thị cố định bên phải, các cột khác cuộn bình thường, không vỡ layout</t>
        </is>
      </c>
      <c r="F63" s="683" t="n"/>
      <c r="G63" s="686" t="inlineStr">
        <is>
          <t>24/09/2026</t>
        </is>
      </c>
      <c r="H63" s="683" t="n"/>
      <c r="I63" s="683" t="n"/>
      <c r="J63" s="683" t="n"/>
      <c r="K63" s="683" t="n"/>
      <c r="L63" s="683" t="n"/>
      <c r="M63" s="683" t="inlineStr">
        <is>
          <t>Theo design - Cần BA confirm</t>
        </is>
      </c>
    </row>
    <row r="64" ht="48" customHeight="1" s="668">
      <c r="A64" s="684">
        <f>$C$4&amp;"-"&amp;TEXT(COUNTA($D$12:D64),"00")</f>
        <v/>
      </c>
      <c r="B64" s="685" t="inlineStr">
        <is>
          <t>Danh sách gói cước con</t>
        </is>
      </c>
      <c r="C64" s="685" t="inlineStr">
        <is>
          <t>Kiểm tra bảng con chỉ hiển thị gói cước khác trạng thái Đã xoá</t>
        </is>
      </c>
      <c r="D64" s="685" t="inlineStr">
        <is>
          <t>ĐK: Loại gói A có gói Nháp, Đã phát hành, Đang kinh doanh, Ngừng kinh doanh và 1 gói Đã xoá
1. Mở rộng loại gói A</t>
        </is>
      </c>
      <c r="E64" s="685" t="inlineStr">
        <is>
          <t>1. 
- Hiển thị 4 gói ở trạng thái Nháp, Đã phát hành, Đang kinh doanh, Ngừng kinh doanh
- Không hiển thị gói Đã xoá</t>
        </is>
      </c>
      <c r="F64" s="683" t="n"/>
      <c r="G64" s="686" t="inlineStr">
        <is>
          <t>24/09/2026</t>
        </is>
      </c>
      <c r="H64" s="683" t="n"/>
      <c r="I64" s="683" t="n"/>
      <c r="J64" s="683" t="n"/>
      <c r="K64" s="683" t="n"/>
      <c r="L64" s="683" t="n"/>
      <c r="M64" s="683" t="inlineStr">
        <is>
          <t>Mục QL gói cước - UC danh sách gói cước BR_01 - Kỹ thuật: Phân vùng tương đương</t>
        </is>
      </c>
    </row>
    <row r="65" ht="32" customHeight="1" s="668">
      <c r="A65" s="684">
        <f>$C$4&amp;"-"&amp;TEXT(COUNTA($D$12:D65),"00")</f>
        <v/>
      </c>
      <c r="B65" s="687" t="n"/>
      <c r="C65" s="685" t="inlineStr">
        <is>
          <t>Kiểm tra gói cước chỉ hiển thị dưới đúng loại gói cước của nó</t>
        </is>
      </c>
      <c r="D65" s="685" t="inlineStr">
        <is>
          <t>1. Mở rộng loại gói A và loại gói B
2. Đối chiếu gói cước với dữ liệu DB</t>
        </is>
      </c>
      <c r="E65" s="685" t="inlineStr">
        <is>
          <t>2. Gói cước hiển thị đúng dưới loại gói cước sở hữu, không lẫn sang loại gói khác</t>
        </is>
      </c>
      <c r="F65" s="683" t="n"/>
      <c r="G65" s="686" t="inlineStr">
        <is>
          <t>24/09/2026</t>
        </is>
      </c>
      <c r="H65" s="683" t="n"/>
      <c r="I65" s="683" t="n"/>
      <c r="J65" s="683" t="n"/>
      <c r="K65" s="683" t="n"/>
      <c r="L65" s="683" t="n"/>
      <c r="M65" s="683" t="inlineStr">
        <is>
          <t>Mục QL gói cước - UC danh sách gói cước BR_01</t>
        </is>
      </c>
    </row>
    <row r="66" ht="96" customHeight="1" s="668">
      <c r="A66" s="684">
        <f>$C$4&amp;"-"&amp;TEXT(COUNTA($D$12:D66),"00")</f>
        <v/>
      </c>
      <c r="B66" s="678" t="n"/>
      <c r="C66" s="685" t="inlineStr">
        <is>
          <t>Kiểm tra thứ tự mặc định các gói cước con</t>
        </is>
      </c>
      <c r="D66" s="685" t="inlineStr">
        <is>
          <t>ĐK: Loại gói A có gói chu kỳ 12 tháng, 7 ngày, 1 năm, 2 tuần
1. Mở rộng loại gói A</t>
        </is>
      </c>
      <c r="E66" s="685" t="inlineStr">
        <is>
          <t>1. Sắp xếp theo chu kỳ quy đổi ra ngày từ bé đến lớn: 7 ngày, 2 tuần, 12 tháng, 1 năm</t>
        </is>
      </c>
      <c r="F66" s="683" t="inlineStr">
        <is>
          <t>7 ngày=7; 2 tuần=14; 12 tháng=360; 1 năm=360</t>
        </is>
      </c>
      <c r="G66" s="686" t="inlineStr">
        <is>
          <t>24/09/2026</t>
        </is>
      </c>
      <c r="H66" s="683" t="n"/>
      <c r="I66" s="683" t="n"/>
      <c r="J66" s="683" t="n"/>
      <c r="K66" s="683" t="n"/>
      <c r="L66" s="683" t="n"/>
      <c r="M66" s="683" t="inlineStr">
        <is>
          <t>Mục QL gói cước - UC danh sách gói cước BR_01; Mục QL gói cước - UC2 tạo mới gói cước BR05. 12 tháng và 1 năm cùng 360 ngày (không thể cùng loại gói theo BR06) - dữ liệu minh hoạ</t>
        </is>
      </c>
    </row>
    <row r="67" ht="32" customHeight="1" s="668">
      <c r="A67" s="684">
        <f>$C$4&amp;"-"&amp;TEXT(COUNTA($D$12:D67),"00")</f>
        <v/>
      </c>
      <c r="B67" s="685" t="inlineStr">
        <is>
          <t>Cột Mã gói</t>
        </is>
      </c>
      <c r="C67" s="685" t="inlineStr">
        <is>
          <t>Kiểm tra hiển thị cột Mã gói</t>
        </is>
      </c>
      <c r="D67" s="685" t="inlineStr">
        <is>
          <t>1. Kiểm tra dữ liệu cột Mã gói</t>
        </is>
      </c>
      <c r="E67" s="685" t="inlineStr">
        <is>
          <t>1. Hiển thị mã gói dạng text in hoa, đúng mã đã tạo</t>
        </is>
      </c>
      <c r="F67" s="683" t="inlineStr">
        <is>
          <t>OAPLUS30</t>
        </is>
      </c>
      <c r="G67" s="686" t="inlineStr">
        <is>
          <t>24/09/2026</t>
        </is>
      </c>
      <c r="H67" s="683" t="n"/>
      <c r="I67" s="683" t="n"/>
      <c r="J67" s="683" t="n"/>
      <c r="K67" s="683" t="n"/>
      <c r="L67" s="683" t="n"/>
      <c r="M67" s="683" t="inlineStr">
        <is>
          <t>Mục QL gói cước - UC danh sách gói cước STT 14</t>
        </is>
      </c>
    </row>
    <row r="68" ht="32" customHeight="1" s="668">
      <c r="A68" s="684">
        <f>$C$4&amp;"-"&amp;TEXT(COUNTA($D$12:D68),"00")</f>
        <v/>
      </c>
      <c r="B68" s="685" t="inlineStr">
        <is>
          <t>Sắp xếp cột (dòng con)</t>
        </is>
      </c>
      <c r="C68" s="685" t="inlineStr">
        <is>
          <t>Kiểm tra sắp xếp cột Mã gói tăng dần</t>
        </is>
      </c>
      <c r="D68" s="685" t="inlineStr">
        <is>
          <t>1. Mở rộng 1 loại gói
2. Click icon ⇅ tại cột Mã gói 1 lần</t>
        </is>
      </c>
      <c r="E68" s="685" t="inlineStr">
        <is>
          <t>2. Danh sách gói con của loại gói đó sắp xếp theo Mã gói A-Z</t>
        </is>
      </c>
      <c r="F68" s="683" t="n"/>
      <c r="G68" s="686" t="inlineStr">
        <is>
          <t>24/09/2026</t>
        </is>
      </c>
      <c r="H68" s="683" t="n"/>
      <c r="I68" s="683" t="n"/>
      <c r="J68" s="683" t="n"/>
      <c r="K68" s="683" t="n"/>
      <c r="L68" s="683" t="n"/>
      <c r="M68" s="683" t="inlineStr">
        <is>
          <t>Mục QL gói cước - UC danh sách gói cước STT 14, BR_03</t>
        </is>
      </c>
    </row>
    <row r="69" ht="32" customHeight="1" s="668">
      <c r="A69" s="684">
        <f>$C$4&amp;"-"&amp;TEXT(COUNTA($D$12:D69),"00")</f>
        <v/>
      </c>
      <c r="B69" s="687" t="n"/>
      <c r="C69" s="685" t="inlineStr">
        <is>
          <t>Kiểm tra sắp xếp cột Mã gói giảm dần</t>
        </is>
      </c>
      <c r="D69" s="685" t="inlineStr">
        <is>
          <t>1. Click icon ⇅ tại cột Mã gói 2 lần</t>
        </is>
      </c>
      <c r="E69" s="685" t="inlineStr">
        <is>
          <t>1. Danh sách gói con sắp xếp theo Mã gói Z-A</t>
        </is>
      </c>
      <c r="F69" s="683" t="n"/>
      <c r="G69" s="686" t="inlineStr">
        <is>
          <t>24/09/2026</t>
        </is>
      </c>
      <c r="H69" s="683" t="n"/>
      <c r="I69" s="683" t="n"/>
      <c r="J69" s="683" t="n"/>
      <c r="K69" s="683" t="n"/>
      <c r="L69" s="683" t="n"/>
      <c r="M69" s="683" t="inlineStr">
        <is>
          <t>Mục QL gói cước - UC danh sách gói cước STT 14, BR_03</t>
        </is>
      </c>
    </row>
    <row r="70" ht="80" customHeight="1" s="668">
      <c r="A70" s="684">
        <f>$C$4&amp;"-"&amp;TEXT(COUNTA($D$12:D70),"00")</f>
        <v/>
      </c>
      <c r="B70" s="687" t="n"/>
      <c r="C70" s="685" t="inlineStr">
        <is>
          <t>Kiểm tra sắp xếp cột Chu kỳ</t>
        </is>
      </c>
      <c r="D70" s="685" t="inlineStr">
        <is>
          <t>1. Click icon ⇅ tại cột Chu kỳ
2. Click lại lần 2</t>
        </is>
      </c>
      <c r="E70" s="685" t="inlineStr">
        <is>
          <t>1. Sắp xếp chu kỳ bé đến lớn
2. Sắp xếp chu kỳ lớn đến bé</t>
        </is>
      </c>
      <c r="F70" s="683" t="n"/>
      <c r="G70" s="686" t="inlineStr">
        <is>
          <t>24/09/2026</t>
        </is>
      </c>
      <c r="H70" s="683" t="n"/>
      <c r="I70" s="683" t="n"/>
      <c r="J70" s="683" t="n"/>
      <c r="K70" s="683" t="n"/>
      <c r="L70" s="683" t="n"/>
      <c r="M70" s="683" t="inlineStr">
        <is>
          <t>Mục QL gói cước - UC danh sách gói cước STT 15, BR_03 - SRS chưa nêu so sánh theo số hay quy đổi ngày khi khác đơn vị, Cần BA confirm</t>
        </is>
      </c>
    </row>
    <row r="71" ht="32" customHeight="1" s="668">
      <c r="A71" s="684">
        <f>$C$4&amp;"-"&amp;TEXT(COUNTA($D$12:D71),"00")</f>
        <v/>
      </c>
      <c r="B71" s="687" t="n"/>
      <c r="C71" s="685" t="inlineStr">
        <is>
          <t>Kiểm tra sắp xếp cột Giá gốc</t>
        </is>
      </c>
      <c r="D71" s="685" t="inlineStr">
        <is>
          <t>1. Click icon ⇅ tại cột Giá gốc
2. Click lại lần 2</t>
        </is>
      </c>
      <c r="E71" s="685" t="inlineStr">
        <is>
          <t>1. Sắp xếp giá bé đến lớn
2. Sắp xếp giá lớn đến bé</t>
        </is>
      </c>
      <c r="F71" s="683" t="n"/>
      <c r="G71" s="686" t="inlineStr">
        <is>
          <t>24/09/2026</t>
        </is>
      </c>
      <c r="H71" s="683" t="n"/>
      <c r="I71" s="683" t="n"/>
      <c r="J71" s="683" t="n"/>
      <c r="K71" s="683" t="n"/>
      <c r="L71" s="683" t="n"/>
      <c r="M71" s="683" t="inlineStr">
        <is>
          <t>Mục QL gói cước - UC danh sách gói cước STT 16, BR_03</t>
        </is>
      </c>
    </row>
    <row r="72" ht="32" customHeight="1" s="668">
      <c r="A72" s="684">
        <f>$C$4&amp;"-"&amp;TEXT(COUNTA($D$12:D72),"00")</f>
        <v/>
      </c>
      <c r="B72" s="687" t="n"/>
      <c r="C72" s="685" t="inlineStr">
        <is>
          <t>Kiểm tra sắp xếp cột Kênh bán</t>
        </is>
      </c>
      <c r="D72" s="685" t="inlineStr">
        <is>
          <t>1. Click icon ⇅ tại cột Kênh bán
2. Click lại lần 2</t>
        </is>
      </c>
      <c r="E72" s="685" t="inlineStr">
        <is>
          <t>1. Sắp xếp tên kênh A-Z
2. Sắp xếp tên kênh Z-A</t>
        </is>
      </c>
      <c r="F72" s="683" t="n"/>
      <c r="G72" s="686" t="inlineStr">
        <is>
          <t>24/09/2026</t>
        </is>
      </c>
      <c r="H72" s="683" t="n"/>
      <c r="I72" s="683" t="n"/>
      <c r="J72" s="683" t="n"/>
      <c r="K72" s="683" t="n"/>
      <c r="L72" s="683" t="n"/>
      <c r="M72" s="683" t="inlineStr">
        <is>
          <t>Mục QL gói cước - UC danh sách gói cước STT 17, BR_03</t>
        </is>
      </c>
    </row>
    <row r="73" ht="32" customHeight="1" s="668">
      <c r="A73" s="684">
        <f>$C$4&amp;"-"&amp;TEXT(COUNTA($D$12:D73),"00")</f>
        <v/>
      </c>
      <c r="B73" s="687" t="n"/>
      <c r="C73" s="685" t="inlineStr">
        <is>
          <t>Kiểm tra sắp xếp cột Loại hình</t>
        </is>
      </c>
      <c r="D73" s="685" t="inlineStr">
        <is>
          <t>1. Click icon ⇅ tại cột Loại hình
2. Click lại lần 2</t>
        </is>
      </c>
      <c r="E73" s="685" t="inlineStr">
        <is>
          <t>1. Sắp xếp tên loại hình A-Z
2. Sắp xếp Z-A</t>
        </is>
      </c>
      <c r="F73" s="683" t="n"/>
      <c r="G73" s="686" t="inlineStr">
        <is>
          <t>24/09/2026</t>
        </is>
      </c>
      <c r="H73" s="683" t="n"/>
      <c r="I73" s="683" t="n"/>
      <c r="J73" s="683" t="n"/>
      <c r="K73" s="683" t="n"/>
      <c r="L73" s="683" t="n"/>
      <c r="M73" s="683" t="inlineStr">
        <is>
          <t>Mục QL gói cước - UC danh sách gói cước STT 18, BR_03</t>
        </is>
      </c>
    </row>
    <row r="74" ht="48" customHeight="1" s="668">
      <c r="A74" s="684">
        <f>$C$4&amp;"-"&amp;TEXT(COUNTA($D$12:D74),"00")</f>
        <v/>
      </c>
      <c r="B74" s="687" t="n"/>
      <c r="C74" s="685" t="inlineStr">
        <is>
          <t>Kiểm tra sắp xếp cột Trạng thái</t>
        </is>
      </c>
      <c r="D74" s="685" t="inlineStr">
        <is>
          <t>1. Click icon ⇅ tại cột Trạng thái
2. Click lại lần 2</t>
        </is>
      </c>
      <c r="E74" s="685" t="inlineStr">
        <is>
          <t>1. Sắp xếp theo thứ tự: Nháp → Đã phát hành → Đang kinh doanh → Ngừng kinh doanh
2. Sắp xếp theo thứ tự ngược lại</t>
        </is>
      </c>
      <c r="F74" s="683" t="n"/>
      <c r="G74" s="686" t="inlineStr">
        <is>
          <t>24/09/2026</t>
        </is>
      </c>
      <c r="H74" s="683" t="n"/>
      <c r="I74" s="683" t="n"/>
      <c r="J74" s="683" t="n"/>
      <c r="K74" s="683" t="n"/>
      <c r="L74" s="683" t="n"/>
      <c r="M74" s="683" t="inlineStr">
        <is>
          <t>Mục QL gói cước - UC danh sách gói cước STT 19, BR_03</t>
        </is>
      </c>
    </row>
    <row r="75" ht="32" customHeight="1" s="668">
      <c r="A75" s="684">
        <f>$C$4&amp;"-"&amp;TEXT(COUNTA($D$12:D75),"00")</f>
        <v/>
      </c>
      <c r="B75" s="687" t="n"/>
      <c r="C75" s="685" t="inlineStr">
        <is>
          <t>Kiểm tra sắp xếp cột Thời gian cập nhật</t>
        </is>
      </c>
      <c r="D75" s="685" t="inlineStr">
        <is>
          <t>1. Click icon ⇅ tại cột Thời gian cập nhật
2. Click lại lần 2</t>
        </is>
      </c>
      <c r="E75" s="685" t="inlineStr">
        <is>
          <t>1. Sắp xếp từ gần đến xa
2. Sắp xếp từ xa đến gần</t>
        </is>
      </c>
      <c r="F75" s="683" t="n"/>
      <c r="G75" s="686" t="inlineStr">
        <is>
          <t>24/09/2026</t>
        </is>
      </c>
      <c r="H75" s="683" t="n"/>
      <c r="I75" s="683" t="n"/>
      <c r="J75" s="683" t="n"/>
      <c r="K75" s="683" t="n"/>
      <c r="L75" s="683" t="n"/>
      <c r="M75" s="683" t="inlineStr">
        <is>
          <t>Mục QL gói cước - UC danh sách gói cước STT 20, BR_03</t>
        </is>
      </c>
    </row>
    <row r="76" ht="32" customHeight="1" s="668">
      <c r="A76" s="684">
        <f>$C$4&amp;"-"&amp;TEXT(COUNTA($D$12:D76),"00")</f>
        <v/>
      </c>
      <c r="B76" s="687" t="n"/>
      <c r="C76" s="685" t="inlineStr">
        <is>
          <t>Kiểm tra sắp xếp cột Người cập nhật</t>
        </is>
      </c>
      <c r="D76" s="685" t="inlineStr">
        <is>
          <t>1. Click icon ⇅ tại cột Người cập nhật
2. Click lại lần 2</t>
        </is>
      </c>
      <c r="E76" s="685" t="inlineStr">
        <is>
          <t>1. Sắp xếp tên A-Z
2. Sắp xếp tên Z-A</t>
        </is>
      </c>
      <c r="F76" s="683" t="n"/>
      <c r="G76" s="686" t="inlineStr">
        <is>
          <t>24/09/2026</t>
        </is>
      </c>
      <c r="H76" s="683" t="n"/>
      <c r="I76" s="683" t="n"/>
      <c r="J76" s="683" t="n"/>
      <c r="K76" s="683" t="n"/>
      <c r="L76" s="683" t="n"/>
      <c r="M76" s="683" t="inlineStr">
        <is>
          <t>Mục QL gói cước - UC danh sách gói cước STT 21, BR_03</t>
        </is>
      </c>
    </row>
    <row r="77" ht="48" customHeight="1" s="668">
      <c r="A77" s="684">
        <f>$C$4&amp;"-"&amp;TEXT(COUNTA($D$12:D77),"00")</f>
        <v/>
      </c>
      <c r="B77" s="678" t="n"/>
      <c r="C77" s="685" t="inlineStr">
        <is>
          <t>Kiểm tra sắp xếp chỉ áp dụng cục bộ trong loại gói đang thao tác</t>
        </is>
      </c>
      <c r="D77" s="685" t="inlineStr">
        <is>
          <t>ĐK: Mở rộng loại gói A và B
1. Click sắp xếp cột Giá gốc tại bảng con loại gói A</t>
        </is>
      </c>
      <c r="E77" s="685" t="inlineStr">
        <is>
          <t>1. 
- Chỉ danh sách gói con của loại gói A thay đổi thứ tự
- Bảng con loại gói B và thứ tự dòng cha không đổi</t>
        </is>
      </c>
      <c r="F77" s="683" t="n"/>
      <c r="G77" s="686" t="inlineStr">
        <is>
          <t>24/09/2026</t>
        </is>
      </c>
      <c r="H77" s="683" t="n"/>
      <c r="I77" s="683" t="n"/>
      <c r="J77" s="683" t="n"/>
      <c r="K77" s="683" t="n"/>
      <c r="L77" s="683" t="n"/>
      <c r="M77" s="683" t="inlineStr">
        <is>
          <t>Mục QL gói cước - UC danh sách gói cước BR_03</t>
        </is>
      </c>
    </row>
    <row r="78" ht="32" customHeight="1" s="668">
      <c r="A78" s="684">
        <f>$C$4&amp;"-"&amp;TEXT(COUNTA($D$12:D78),"00")</f>
        <v/>
      </c>
      <c r="B78" s="685" t="inlineStr">
        <is>
          <t>Cột Chu kỳ</t>
        </is>
      </c>
      <c r="C78" s="685" t="inlineStr">
        <is>
          <t>Kiểm tra định dạng cột Chu kỳ</t>
        </is>
      </c>
      <c r="D78" s="685" t="inlineStr">
        <is>
          <t>1. Kiểm tra dữ liệu cột Chu kỳ</t>
        </is>
      </c>
      <c r="E78" s="685" t="inlineStr">
        <is>
          <t>1. Hiển thị [Số] [Đơn vị], VD: 7 tháng, 12 tháng, 24 tháng</t>
        </is>
      </c>
      <c r="F78" s="683" t="n"/>
      <c r="G78" s="686" t="inlineStr">
        <is>
          <t>24/09/2026</t>
        </is>
      </c>
      <c r="H78" s="683" t="n"/>
      <c r="I78" s="683" t="n"/>
      <c r="J78" s="683" t="n"/>
      <c r="K78" s="683" t="n"/>
      <c r="L78" s="683" t="n"/>
      <c r="M78" s="683" t="inlineStr">
        <is>
          <t>Mục QL gói cước - UC danh sách gói cước STT 15</t>
        </is>
      </c>
    </row>
    <row r="79" ht="96" customHeight="1" s="668">
      <c r="A79" s="684">
        <f>$C$4&amp;"-"&amp;TEXT(COUNTA($D$12:D79),"00")</f>
        <v/>
      </c>
      <c r="B79" s="678" t="n"/>
      <c r="C79" s="685" t="inlineStr">
        <is>
          <t>Kiểm tra hiển thị chu kỳ theo từng đơn vị</t>
        </is>
      </c>
      <c r="D79" s="685" t="inlineStr">
        <is>
          <t>ĐK: Có gói chu kỳ đơn vị Ngày, Tuần, Tháng, Năm
1. Kiểm tra cột Chu kỳ</t>
        </is>
      </c>
      <c r="E79" s="685" t="inlineStr">
        <is>
          <t>1. Hiển thị đúng đơn vị đã lưu khi tạo: "30 ngày", "2 tuần", "12 tháng", "1 năm" (không tự quy đổi)</t>
        </is>
      </c>
      <c r="F79" s="683" t="n"/>
      <c r="G79" s="686" t="inlineStr">
        <is>
          <t>24/09/2026</t>
        </is>
      </c>
      <c r="H79" s="683" t="n"/>
      <c r="I79" s="683" t="n"/>
      <c r="J79" s="683" t="n"/>
      <c r="K79" s="683" t="n"/>
      <c r="L79" s="683" t="n"/>
      <c r="M79" s="683" t="inlineStr">
        <is>
          <t>Mục QL gói cước - UC danh sách gói cước STT 15; Mục QL gói cước - UC2 tạo mới gói cước dữ liệu lưu billing_cycle_unit - Kỹ thuật: Phân vùng tương đương</t>
        </is>
      </c>
    </row>
    <row r="80" ht="32" customHeight="1" s="668">
      <c r="A80" s="684">
        <f>$C$4&amp;"-"&amp;TEXT(COUNTA($D$12:D80),"00")</f>
        <v/>
      </c>
      <c r="B80" s="685" t="inlineStr">
        <is>
          <t>Cột Giá gốc (VNĐ)</t>
        </is>
      </c>
      <c r="C80" s="685" t="inlineStr">
        <is>
          <t>Kiểm tra định dạng cột Giá gốc</t>
        </is>
      </c>
      <c r="D80" s="685" t="inlineStr">
        <is>
          <t>1. Kiểm tra dữ liệu cột Giá gốc</t>
        </is>
      </c>
      <c r="E80" s="685" t="inlineStr">
        <is>
          <t>1. Hiển thị số tiền có dấu chấm phân cách hàng nghìn, VD: 1.200.000</t>
        </is>
      </c>
      <c r="F80" s="683" t="inlineStr">
        <is>
          <t>1200000 -&gt; 1.200.000</t>
        </is>
      </c>
      <c r="G80" s="686" t="inlineStr">
        <is>
          <t>24/09/2026</t>
        </is>
      </c>
      <c r="H80" s="683" t="n"/>
      <c r="I80" s="683" t="n"/>
      <c r="J80" s="683" t="n"/>
      <c r="K80" s="683" t="n"/>
      <c r="L80" s="683" t="n"/>
      <c r="M80" s="683" t="inlineStr">
        <is>
          <t>Mục QL gói cước - UC danh sách gói cước STT 16</t>
        </is>
      </c>
    </row>
    <row r="81" ht="64" customHeight="1" s="668">
      <c r="A81" s="684">
        <f>$C$4&amp;"-"&amp;TEXT(COUNTA($D$12:D81),"00")</f>
        <v/>
      </c>
      <c r="B81" s="678" t="n"/>
      <c r="C81" s="685" t="inlineStr">
        <is>
          <t>Kiểm tra hiển thị giá gốc giá trị lớn</t>
        </is>
      </c>
      <c r="D81" s="685" t="inlineStr">
        <is>
          <t>ĐK: Gói có giá gốc 9.999.999.999.999
1. Kiểm tra cột Giá gốc</t>
        </is>
      </c>
      <c r="E81" s="685" t="inlineStr">
        <is>
          <t>1. Hiển thị đúng 9.999.999.999.999, không vỡ layout, không hiển thị dạng số mũ</t>
        </is>
      </c>
      <c r="F81" s="683" t="inlineStr">
        <is>
          <t>9999999999999</t>
        </is>
      </c>
      <c r="G81" s="686" t="inlineStr">
        <is>
          <t>24/09/2026</t>
        </is>
      </c>
      <c r="H81" s="683" t="n"/>
      <c r="I81" s="683" t="n"/>
      <c r="J81" s="683" t="n"/>
      <c r="K81" s="683" t="n"/>
      <c r="L81" s="683" t="n"/>
      <c r="M81" s="683" t="inlineStr">
        <is>
          <t>Mục QL gói cước - UC danh sách gói cước STT 16 - DECIMAL(15,2) - Kỹ thuật: Phân tích giá trị biên</t>
        </is>
      </c>
    </row>
    <row r="82" ht="48" customHeight="1" s="668">
      <c r="A82" s="684">
        <f>$C$4&amp;"-"&amp;TEXT(COUNTA($D$12:D82),"00")</f>
        <v/>
      </c>
      <c r="B82" s="685" t="inlineStr">
        <is>
          <t>Cột Kênh bán</t>
        </is>
      </c>
      <c r="C82" s="685" t="inlineStr">
        <is>
          <t>Kiểm tra hiển thị cột Kênh bán 1 kênh</t>
        </is>
      </c>
      <c r="D82" s="685" t="inlineStr">
        <is>
          <t>ĐK: Gói có kênh phân phối Web OA
1. Kiểm tra cột Kênh bán</t>
        </is>
      </c>
      <c r="E82" s="685" t="inlineStr">
        <is>
          <t>1. Hiển thị: Web OA</t>
        </is>
      </c>
      <c r="F82" s="683" t="n"/>
      <c r="G82" s="686" t="inlineStr">
        <is>
          <t>24/09/2026</t>
        </is>
      </c>
      <c r="H82" s="683" t="n"/>
      <c r="I82" s="683" t="n"/>
      <c r="J82" s="683" t="n"/>
      <c r="K82" s="683" t="n"/>
      <c r="L82" s="683" t="n"/>
      <c r="M82" s="683" t="inlineStr">
        <is>
          <t>Mục QL gói cước - UC danh sách gói cước STT 17 - Kỹ thuật: Phân vùng tương đương</t>
        </is>
      </c>
    </row>
    <row r="83" ht="64" customHeight="1" s="668">
      <c r="A83" s="684">
        <f>$C$4&amp;"-"&amp;TEXT(COUNTA($D$12:D83),"00")</f>
        <v/>
      </c>
      <c r="B83" s="678" t="n"/>
      <c r="C83" s="685" t="inlineStr">
        <is>
          <t>Kiểm tra hiển thị cột Kênh bán nhiều kênh</t>
        </is>
      </c>
      <c r="D83" s="685" t="inlineStr">
        <is>
          <t>ĐK: Gói có kênh phân phối Web OA và Mini app gói cước Tammi
1. Kiểm tra cột Kênh bán</t>
        </is>
      </c>
      <c r="E83" s="685" t="inlineStr">
        <is>
          <t>1. Hiển thị đủ 2 kênh, text dài cắt "..." như design ("Mini app gói cước...")</t>
        </is>
      </c>
      <c r="F83" s="683" t="n"/>
      <c r="G83" s="686" t="inlineStr">
        <is>
          <t>24/09/2026</t>
        </is>
      </c>
      <c r="H83" s="683" t="n"/>
      <c r="I83" s="683" t="n"/>
      <c r="J83" s="683" t="n"/>
      <c r="K83" s="683" t="n"/>
      <c r="L83" s="683" t="n"/>
      <c r="M83" s="683" t="inlineStr">
        <is>
          <t>Mục QL gói cước - UC danh sách gói cước STT 17 - SRS chưa nêu dấu phân cách/tooltip khi nhiều kênh, Cần BA confirm</t>
        </is>
      </c>
    </row>
    <row r="84" ht="48" customHeight="1" s="668">
      <c r="A84" s="684">
        <f>$C$4&amp;"-"&amp;TEXT(COUNTA($D$12:D84),"00")</f>
        <v/>
      </c>
      <c r="B84" s="685" t="inlineStr">
        <is>
          <t>Cột Loại hình</t>
        </is>
      </c>
      <c r="C84" s="685" t="inlineStr">
        <is>
          <t>Kiểm tra hiển thị cột Loại hình</t>
        </is>
      </c>
      <c r="D84" s="685" t="inlineStr">
        <is>
          <t>ĐK: Có gói Gói chính và gói Gói add-on
1. Kiểm tra cột Loại hình</t>
        </is>
      </c>
      <c r="E84" s="685" t="inlineStr">
        <is>
          <t>1. Hiển thị đúng: Chính / Add-on</t>
        </is>
      </c>
      <c r="F84" s="683" t="n"/>
      <c r="G84" s="686" t="inlineStr">
        <is>
          <t>24/09/2026</t>
        </is>
      </c>
      <c r="H84" s="683" t="n"/>
      <c r="I84" s="683" t="n"/>
      <c r="J84" s="683" t="n"/>
      <c r="K84" s="683" t="n"/>
      <c r="L84" s="683" t="n"/>
      <c r="M84" s="683" t="inlineStr">
        <is>
          <t>Mục QL gói cước - UC danh sách gói cước STT 18 - Kỹ thuật: Phân vùng tương đương</t>
        </is>
      </c>
    </row>
    <row r="85" ht="48" customHeight="1" s="668">
      <c r="A85" s="684">
        <f>$C$4&amp;"-"&amp;TEXT(COUNTA($D$12:D85),"00")</f>
        <v/>
      </c>
      <c r="B85" s="685" t="inlineStr">
        <is>
          <t>Cột Trạng thái</t>
        </is>
      </c>
      <c r="C85" s="685" t="inlineStr">
        <is>
          <t>Kiểm tra hiển thị trạng thái Nháp</t>
        </is>
      </c>
      <c r="D85" s="685" t="inlineStr">
        <is>
          <t>ĐK: Gói ở trạng thái Nháp
1. Kiểm tra cột Trạng thái</t>
        </is>
      </c>
      <c r="E85" s="685" t="inlineStr">
        <is>
          <t>1. Hiển thị status pill "Nháp" màu xám theo design</t>
        </is>
      </c>
      <c r="F85" s="683" t="n"/>
      <c r="G85" s="686" t="inlineStr">
        <is>
          <t>24/09/2026</t>
        </is>
      </c>
      <c r="H85" s="683" t="n"/>
      <c r="I85" s="683" t="n"/>
      <c r="J85" s="683" t="n"/>
      <c r="K85" s="683" t="n"/>
      <c r="L85" s="683" t="n"/>
      <c r="M85" s="683" t="inlineStr">
        <is>
          <t>Mục QL gói cước - UC danh sách gói cước STT 19 - Kỹ thuật: Phân vùng tương đương</t>
        </is>
      </c>
    </row>
    <row r="86" ht="64" customHeight="1" s="668">
      <c r="A86" s="684">
        <f>$C$4&amp;"-"&amp;TEXT(COUNTA($D$12:D86),"00")</f>
        <v/>
      </c>
      <c r="B86" s="687" t="n"/>
      <c r="C86" s="685" t="inlineStr">
        <is>
          <t>Kiểm tra hiển thị trạng thái Đã phát hành</t>
        </is>
      </c>
      <c r="D86" s="685" t="inlineStr">
        <is>
          <t>ĐK: Gói ở trạng thái Đã phát hành
1. Kiểm tra cột Trạng thái</t>
        </is>
      </c>
      <c r="E86" s="685" t="inlineStr">
        <is>
          <t>1. Hiển thị status pill "Đã phát hành" màu vàng theo design</t>
        </is>
      </c>
      <c r="F86" s="683" t="n"/>
      <c r="G86" s="686" t="inlineStr">
        <is>
          <t>24/09/2026</t>
        </is>
      </c>
      <c r="H86" s="683" t="n"/>
      <c r="I86" s="683" t="n"/>
      <c r="J86" s="683" t="n"/>
      <c r="K86" s="683" t="n"/>
      <c r="L86" s="683" t="n"/>
      <c r="M86" s="683" t="inlineStr">
        <is>
          <t>Mục QL gói cước - UC danh sách gói cước STT 19 (SRS ghi "đã ban hành", design ghi "Đã phát hành" - Cần BA confirm)</t>
        </is>
      </c>
    </row>
    <row r="87" ht="48" customHeight="1" s="668">
      <c r="A87" s="684">
        <f>$C$4&amp;"-"&amp;TEXT(COUNTA($D$12:D87),"00")</f>
        <v/>
      </c>
      <c r="B87" s="687" t="n"/>
      <c r="C87" s="685" t="inlineStr">
        <is>
          <t>Kiểm tra hiển thị trạng thái Đang kinh doanh</t>
        </is>
      </c>
      <c r="D87" s="685" t="inlineStr">
        <is>
          <t>ĐK: Gói ở trạng thái Đang kinh doanh
1. Kiểm tra cột Trạng thái</t>
        </is>
      </c>
      <c r="E87" s="685" t="inlineStr">
        <is>
          <t>1. Hiển thị status pill "Đang kinh doanh" màu xanh theo design</t>
        </is>
      </c>
      <c r="F87" s="683" t="n"/>
      <c r="G87" s="686" t="inlineStr">
        <is>
          <t>24/09/2026</t>
        </is>
      </c>
      <c r="H87" s="683" t="n"/>
      <c r="I87" s="683" t="n"/>
      <c r="J87" s="683" t="n"/>
      <c r="K87" s="683" t="n"/>
      <c r="L87" s="683" t="n"/>
      <c r="M87" s="683" t="inlineStr">
        <is>
          <t>Mục QL gói cước - UC danh sách gói cước STT 19 - Kỹ thuật: Phân vùng tương đương</t>
        </is>
      </c>
    </row>
    <row r="88" ht="48" customHeight="1" s="668">
      <c r="A88" s="684">
        <f>$C$4&amp;"-"&amp;TEXT(COUNTA($D$12:D88),"00")</f>
        <v/>
      </c>
      <c r="B88" s="687" t="n"/>
      <c r="C88" s="685" t="inlineStr">
        <is>
          <t>Kiểm tra hiển thị trạng thái Ngừng kinh doanh</t>
        </is>
      </c>
      <c r="D88" s="685" t="inlineStr">
        <is>
          <t>ĐK: Gói ở trạng thái Ngừng kinh doanh
1. Kiểm tra cột Trạng thái</t>
        </is>
      </c>
      <c r="E88" s="685" t="inlineStr">
        <is>
          <t>1. Hiển thị status pill "Ngừng kinh doanh" màu đỏ theo design</t>
        </is>
      </c>
      <c r="F88" s="683" t="n"/>
      <c r="G88" s="686" t="inlineStr">
        <is>
          <t>24/09/2026</t>
        </is>
      </c>
      <c r="H88" s="683" t="n"/>
      <c r="I88" s="683" t="n"/>
      <c r="J88" s="683" t="n"/>
      <c r="K88" s="683" t="n"/>
      <c r="L88" s="683" t="n"/>
      <c r="M88" s="683" t="inlineStr">
        <is>
          <t>Mục QL gói cước - UC danh sách gói cước STT 19 - Kỹ thuật: Phân vùng tương đương</t>
        </is>
      </c>
    </row>
    <row r="89" ht="64" customHeight="1" s="668">
      <c r="A89" s="684">
        <f>$C$4&amp;"-"&amp;TEXT(COUNTA($D$12:D89),"00")</f>
        <v/>
      </c>
      <c r="B89" s="678" t="n"/>
      <c r="C89" s="685" t="inlineStr">
        <is>
          <t>Kiểm tra trạng thái cập nhật khi gói tự động chuyển trạng thái</t>
        </is>
      </c>
      <c r="D89" s="685" t="inlineStr">
        <is>
          <t>ĐK: Gói Đã phát hành, Bật/tắt trạng thái = Tự động, thời gian bắt đầu = hiện tại + 2 phút
1. Chờ qua thời gian bắt đầu
2. Tải lại danh sách</t>
        </is>
      </c>
      <c r="E89" s="685" t="inlineStr">
        <is>
          <t>2. Cột Trạng thái của gói hiển thị "Đang kinh doanh"</t>
        </is>
      </c>
      <c r="F89" s="683" t="n"/>
      <c r="G89" s="686" t="inlineStr">
        <is>
          <t>24/09/2026</t>
        </is>
      </c>
      <c r="H89" s="683" t="n"/>
      <c r="I89" s="683" t="n"/>
      <c r="J89" s="683" t="n"/>
      <c r="K89" s="683" t="n"/>
      <c r="L89" s="683" t="n"/>
      <c r="M89" s="683" t="inlineStr">
        <is>
          <t>Bảng Trạng thái gói cước (Đã phát hành → Đang kinh doanh) - Kỹ thuật: Sơ đồ chuyển trạng thái</t>
        </is>
      </c>
    </row>
    <row r="90" ht="32" customHeight="1" s="668">
      <c r="A90" s="684">
        <f>$C$4&amp;"-"&amp;TEXT(COUNTA($D$12:D90),"00")</f>
        <v/>
      </c>
      <c r="B90" s="685" t="inlineStr">
        <is>
          <t>Cột Thời gian cập nhật</t>
        </is>
      </c>
      <c r="C90" s="685" t="inlineStr">
        <is>
          <t>Kiểm tra định dạng cột Thời gian cập nhật</t>
        </is>
      </c>
      <c r="D90" s="685" t="inlineStr">
        <is>
          <t>1. Kiểm tra cột Thời gian cập nhật</t>
        </is>
      </c>
      <c r="E90" s="685" t="inlineStr">
        <is>
          <t>1. Hiển thị thời điểm cập nhật gần nhất định dạng DD/MM/YYYY HH:mm:ss</t>
        </is>
      </c>
      <c r="F90" s="683" t="inlineStr">
        <is>
          <t>01/09/2026 10:09:50</t>
        </is>
      </c>
      <c r="G90" s="686" t="inlineStr">
        <is>
          <t>24/09/2026</t>
        </is>
      </c>
      <c r="H90" s="683" t="n"/>
      <c r="I90" s="683" t="n"/>
      <c r="J90" s="683" t="n"/>
      <c r="K90" s="683" t="n"/>
      <c r="L90" s="683" t="n"/>
      <c r="M90" s="683" t="inlineStr">
        <is>
          <t>Mục QL gói cước - UC danh sách gói cước STT 20</t>
        </is>
      </c>
    </row>
    <row r="91" ht="32" customHeight="1" s="668">
      <c r="A91" s="684">
        <f>$C$4&amp;"-"&amp;TEXT(COUNTA($D$12:D91),"00")</f>
        <v/>
      </c>
      <c r="B91" s="678" t="n"/>
      <c r="C91" s="685" t="inlineStr">
        <is>
          <t>Kiểm tra Thời gian/Người cập nhật thay đổi sau khi chỉnh sửa gói</t>
        </is>
      </c>
      <c r="D91" s="685" t="inlineStr">
        <is>
          <t>1. Admin B chỉnh sửa 1 gói cước
2. Quay lại danh sách</t>
        </is>
      </c>
      <c r="E91" s="685" t="inlineStr">
        <is>
          <t>2. Thời gian cập nhật = thời điểm lưu chỉnh sửa, Người cập nhật = họ tên Admin B</t>
        </is>
      </c>
      <c r="F91" s="683" t="n"/>
      <c r="G91" s="686" t="inlineStr">
        <is>
          <t>24/09/2026</t>
        </is>
      </c>
      <c r="H91" s="683" t="n"/>
      <c r="I91" s="683" t="n"/>
      <c r="J91" s="683" t="n"/>
      <c r="K91" s="683" t="n"/>
      <c r="L91" s="683" t="n"/>
      <c r="M91" s="683" t="inlineStr">
        <is>
          <t>Mục QL gói cước - UC danh sách gói cước STT 20, 21</t>
        </is>
      </c>
    </row>
    <row r="92" ht="32" customHeight="1" s="668">
      <c r="A92" s="684">
        <f>$C$4&amp;"-"&amp;TEXT(COUNTA($D$12:D92),"00")</f>
        <v/>
      </c>
      <c r="B92" s="685" t="inlineStr">
        <is>
          <t>Cột Người cập nhật</t>
        </is>
      </c>
      <c r="C92" s="685" t="inlineStr">
        <is>
          <t>Kiểm tra hiển thị cột Người cập nhật</t>
        </is>
      </c>
      <c r="D92" s="685" t="inlineStr">
        <is>
          <t>1. Kiểm tra cột Người cập nhật</t>
        </is>
      </c>
      <c r="E92" s="685" t="inlineStr">
        <is>
          <t>1. Hiển thị họ và tên tài khoản Admin thực hiện cập nhật gần nhất</t>
        </is>
      </c>
      <c r="F92" s="683" t="inlineStr">
        <is>
          <t>Nguyễn Văn A</t>
        </is>
      </c>
      <c r="G92" s="686" t="inlineStr">
        <is>
          <t>24/09/2026</t>
        </is>
      </c>
      <c r="H92" s="683" t="n"/>
      <c r="I92" s="683" t="n"/>
      <c r="J92" s="683" t="n"/>
      <c r="K92" s="683" t="n"/>
      <c r="L92" s="683" t="n"/>
      <c r="M92" s="683" t="inlineStr">
        <is>
          <t>Mục QL gói cước - UC danh sách gói cước STT 21</t>
        </is>
      </c>
    </row>
    <row r="93" ht="32" customHeight="1" s="668">
      <c r="A93" s="684">
        <f>$C$4&amp;"-"&amp;TEXT(COUNTA($D$12:D93),"00")</f>
        <v/>
      </c>
      <c r="B93" s="685" t="inlineStr">
        <is>
          <t>Cột Thao tác</t>
        </is>
      </c>
      <c r="C93" s="685" t="inlineStr">
        <is>
          <t>Kiểm tra hiển thị bộ icon thao tác</t>
        </is>
      </c>
      <c r="D93" s="685" t="inlineStr">
        <is>
          <t>1. Kiểm tra cột Thao tác từng dòng gói cước</t>
        </is>
      </c>
      <c r="E93" s="685" t="inlineStr">
        <is>
          <t>1. Hiển thị 3 icon: (i) Xem chi tiết, ✏ Chỉnh sửa, 🗑 Xoá</t>
        </is>
      </c>
      <c r="F93" s="683" t="n"/>
      <c r="G93" s="686" t="inlineStr">
        <is>
          <t>24/09/2026</t>
        </is>
      </c>
      <c r="H93" s="683" t="n"/>
      <c r="I93" s="683" t="n"/>
      <c r="J93" s="683" t="n"/>
      <c r="K93" s="683" t="n"/>
      <c r="L93" s="683" t="n"/>
      <c r="M93" s="683" t="inlineStr">
        <is>
          <t>Mục QL gói cước - UC danh sách gói cước STT 22</t>
        </is>
      </c>
    </row>
    <row r="94" ht="32" customHeight="1" s="668">
      <c r="A94" s="684">
        <f>$C$4&amp;"-"&amp;TEXT(COUNTA($D$12:D94),"00")</f>
        <v/>
      </c>
      <c r="B94" s="687" t="n"/>
      <c r="C94" s="685" t="inlineStr">
        <is>
          <t>Kiểm tra click icon (i)</t>
        </is>
      </c>
      <c r="D94" s="685" t="inlineStr">
        <is>
          <t>1. Click icon (i) tại 1 gói cước</t>
        </is>
      </c>
      <c r="E94" s="685" t="inlineStr">
        <is>
          <t>1. Điều hướng đến trang Xem chi tiết đúng gói cước đã chọn</t>
        </is>
      </c>
      <c r="F94" s="683" t="n"/>
      <c r="G94" s="686" t="inlineStr">
        <is>
          <t>24/09/2026</t>
        </is>
      </c>
      <c r="H94" s="683" t="n"/>
      <c r="I94" s="683" t="n"/>
      <c r="J94" s="683" t="n"/>
      <c r="K94" s="683" t="n"/>
      <c r="L94" s="683" t="n"/>
      <c r="M94" s="683" t="inlineStr">
        <is>
          <t>Mục QL gói cước - UC danh sách gói cước STT 22</t>
        </is>
      </c>
    </row>
    <row r="95" ht="32" customHeight="1" s="668">
      <c r="A95" s="684">
        <f>$C$4&amp;"-"&amp;TEXT(COUNTA($D$12:D95),"00")</f>
        <v/>
      </c>
      <c r="B95" s="687" t="n"/>
      <c r="C95" s="685" t="inlineStr">
        <is>
          <t>Kiểm tra click icon ✏</t>
        </is>
      </c>
      <c r="D95" s="685" t="inlineStr">
        <is>
          <t>1. Click icon ✏ tại 1 gói cước</t>
        </is>
      </c>
      <c r="E95" s="685" t="inlineStr">
        <is>
          <t>1. Điều hướng đến trang Chỉnh sửa đúng gói cước đã chọn</t>
        </is>
      </c>
      <c r="F95" s="683" t="n"/>
      <c r="G95" s="686" t="inlineStr">
        <is>
          <t>24/09/2026</t>
        </is>
      </c>
      <c r="H95" s="683" t="n"/>
      <c r="I95" s="683" t="n"/>
      <c r="J95" s="683" t="n"/>
      <c r="K95" s="683" t="n"/>
      <c r="L95" s="683" t="n"/>
      <c r="M95" s="683" t="inlineStr">
        <is>
          <t>Mục QL gói cước - UC danh sách gói cước STT 22</t>
        </is>
      </c>
    </row>
    <row r="96" ht="64" customHeight="1" s="668">
      <c r="A96" s="684">
        <f>$C$4&amp;"-"&amp;TEXT(COUNTA($D$12:D96),"00")</f>
        <v/>
      </c>
      <c r="B96" s="687" t="n"/>
      <c r="C96" s="685" t="inlineStr">
        <is>
          <t>Kiểm tra click icon 🗑</t>
        </is>
      </c>
      <c r="D96" s="685" t="inlineStr">
        <is>
          <t>1. Click icon 🗑 tại 1 gói cước</t>
        </is>
      </c>
      <c r="E96" s="685" t="inlineStr">
        <is>
          <t>1. Thực hiện luồng Xoá gói cước theo UC xoá gói cước (hiển thị popup xác nhận)</t>
        </is>
      </c>
      <c r="F96" s="683" t="n"/>
      <c r="G96" s="686" t="inlineStr">
        <is>
          <t>24/09/2026</t>
        </is>
      </c>
      <c r="H96" s="683" t="n"/>
      <c r="I96" s="683" t="n"/>
      <c r="J96" s="683" t="n"/>
      <c r="K96" s="683" t="n"/>
      <c r="L96" s="683" t="n"/>
      <c r="M96" s="683" t="inlineStr">
        <is>
          <t>Mục QL gói cước - UC danh sách gói cước STT 22 - UC xoá chưa mô tả chi tiết, Cần BA confirm</t>
        </is>
      </c>
    </row>
    <row r="97" ht="80" customHeight="1" s="668">
      <c r="A97" s="684">
        <f>$C$4&amp;"-"&amp;TEXT(COUNTA($D$12:D97),"00")</f>
        <v/>
      </c>
      <c r="B97" s="678" t="n"/>
      <c r="C97" s="685" t="inlineStr">
        <is>
          <t>Kiểm tra icon Xoá theo từng trạng thái gói</t>
        </is>
      </c>
      <c r="D97" s="685" t="inlineStr">
        <is>
          <t>ĐK: Có gói ở các trạng thái Nháp / Đã phát hành / Đang kinh doanh / Ngừng kinh doanh
1. Kiểm tra icon 🗑 từng dòng</t>
        </is>
      </c>
      <c r="E97" s="685" t="inlineStr">
        <is>
          <t>1. Theo bảng trạng thái: gói Đang kinh doanh tuyệt đối không được xoá; Nháp được xoá; Đã phát hành/Ngừng kinh doanh chỉ xoá khi chưa phát sinh giao dịch</t>
        </is>
      </c>
      <c r="F97" s="683" t="n"/>
      <c r="G97" s="686" t="inlineStr">
        <is>
          <t>24/09/2026</t>
        </is>
      </c>
      <c r="H97" s="683" t="n"/>
      <c r="I97" s="683" t="n"/>
      <c r="J97" s="683" t="n"/>
      <c r="K97" s="683" t="n"/>
      <c r="L97" s="683" t="n"/>
      <c r="M97" s="683" t="inlineStr">
        <is>
          <t>Bảng Trạng thái gói cước - Kỹ thuật: Bảng quyết định. SRS UC danh sách không nêu icon disable hay chặn khi click - Cần BA confirm</t>
        </is>
      </c>
    </row>
    <row r="98" ht="32" customHeight="1" s="668">
      <c r="A98" s="684">
        <f>$C$4&amp;"-"&amp;TEXT(COUNTA($D$12:D98),"00")</f>
        <v/>
      </c>
      <c r="B98" s="685" t="inlineStr">
        <is>
          <t>Link + Thêm gói cước</t>
        </is>
      </c>
      <c r="C98" s="685" t="inlineStr">
        <is>
          <t>Kiểm tra hiển thị link + Thêm gói cước</t>
        </is>
      </c>
      <c r="D98" s="685" t="inlineStr">
        <is>
          <t>ĐK: Mở rộng 1 dòng cha
1. Kiểm tra góc dưới bên trái bảng con</t>
        </is>
      </c>
      <c r="E98" s="685" t="inlineStr">
        <is>
          <t>1. Hiển thị text màu đỏ "+ Thêm gói cước"</t>
        </is>
      </c>
      <c r="F98" s="683" t="n"/>
      <c r="G98" s="686" t="inlineStr">
        <is>
          <t>24/09/2026</t>
        </is>
      </c>
      <c r="H98" s="683" t="n"/>
      <c r="I98" s="683" t="n"/>
      <c r="J98" s="683" t="n"/>
      <c r="K98" s="683" t="n"/>
      <c r="L98" s="683" t="n"/>
      <c r="M98" s="683" t="inlineStr">
        <is>
          <t>Mục QL gói cước - UC danh sách gói cước STT 23</t>
        </is>
      </c>
    </row>
    <row r="99" ht="64" customHeight="1" s="668">
      <c r="A99" s="684">
        <f>$C$4&amp;"-"&amp;TEXT(COUNTA($D$12:D99),"00")</f>
        <v/>
      </c>
      <c r="B99" s="678" t="n"/>
      <c r="C99" s="685" t="inlineStr">
        <is>
          <t>Kiểm tra click + Thêm gói cước tại bảng con</t>
        </is>
      </c>
      <c r="D99" s="685" t="inlineStr">
        <is>
          <t>ĐK: Mở rộng loại gói "Plus OA Business"
1. Click "+ Thêm gói cước"</t>
        </is>
      </c>
      <c r="E99" s="685" t="inlineStr">
        <is>
          <t>1. 
- Điều hướng đến form Tạo gói cước mới
- Trường Loại gói cước tự gán sẵn "Plus OA Business"
- Danh sách tính năng hiển thị theo loại gói đó</t>
        </is>
      </c>
      <c r="F99" s="683" t="n"/>
      <c r="G99" s="686" t="inlineStr">
        <is>
          <t>24/09/2026</t>
        </is>
      </c>
      <c r="H99" s="683" t="n"/>
      <c r="I99" s="683" t="n"/>
      <c r="J99" s="683" t="n"/>
      <c r="K99" s="683" t="n"/>
      <c r="L99" s="683" t="n"/>
      <c r="M99" s="683" t="inlineStr">
        <is>
          <t>Mục QL gói cước - UC danh sách gói cước STT 23; Mục QL gói cước - UC2 tạo mới gói cước STT 13 Th1</t>
        </is>
      </c>
    </row>
    <row r="100" ht="20" customHeight="1" s="668">
      <c r="A100" s="682" t="inlineStr">
        <is>
          <t>Phân trang</t>
        </is>
      </c>
      <c r="B100" s="672" t="n"/>
      <c r="C100" s="672" t="n"/>
      <c r="D100" s="672" t="n"/>
      <c r="E100" s="672" t="n"/>
      <c r="F100" s="672" t="n"/>
      <c r="G100" s="672" t="n"/>
      <c r="H100" s="672" t="n"/>
      <c r="I100" s="672" t="n"/>
      <c r="J100" s="672" t="n"/>
      <c r="K100" s="673" t="n"/>
      <c r="L100" s="683" t="n"/>
      <c r="M100" s="683" t="n"/>
    </row>
    <row r="101" ht="32" customHeight="1" s="668">
      <c r="A101" s="684">
        <f>$C$4&amp;"-"&amp;TEXT(COUNTA($D$12:D101),"00")</f>
        <v/>
      </c>
      <c r="B101" s="685" t="inlineStr">
        <is>
          <t>Chọn số bản ghi/trang</t>
        </is>
      </c>
      <c r="C101" s="685" t="inlineStr">
        <is>
          <t>Kiểm tra giá trị mặc định số bản ghi/trang</t>
        </is>
      </c>
      <c r="D101" s="685" t="inlineStr">
        <is>
          <t>1. Kiểm tra dropdown số bản ghi</t>
        </is>
      </c>
      <c r="E101" s="685" t="inlineStr">
        <is>
          <t>1. Mặc định hiển thị "10 dòng", mỗi trang tối đa 10 loại gói cước (dòng cha)</t>
        </is>
      </c>
      <c r="F101" s="683" t="n"/>
      <c r="G101" s="686" t="inlineStr">
        <is>
          <t>24/09/2026</t>
        </is>
      </c>
      <c r="H101" s="683" t="n"/>
      <c r="I101" s="683" t="n"/>
      <c r="J101" s="683" t="n"/>
      <c r="K101" s="683" t="n"/>
      <c r="L101" s="683" t="n"/>
      <c r="M101" s="683" t="inlineStr">
        <is>
          <t>Mục QL gói cước - UC danh sách gói cước STT 24</t>
        </is>
      </c>
    </row>
    <row r="102" ht="32" customHeight="1" s="668">
      <c r="A102" s="684">
        <f>$C$4&amp;"-"&amp;TEXT(COUNTA($D$12:D102),"00")</f>
        <v/>
      </c>
      <c r="B102" s="687" t="n"/>
      <c r="C102" s="685" t="inlineStr">
        <is>
          <t>Kiểm tra danh sách giá trị dropdown số bản ghi</t>
        </is>
      </c>
      <c r="D102" s="685" t="inlineStr">
        <is>
          <t>1. Click dropdown số bản ghi</t>
        </is>
      </c>
      <c r="E102" s="685" t="inlineStr">
        <is>
          <t>1. Hiển thị các giá trị: 10, 15, 20, 25</t>
        </is>
      </c>
      <c r="F102" s="683" t="n"/>
      <c r="G102" s="686" t="inlineStr">
        <is>
          <t>24/09/2026</t>
        </is>
      </c>
      <c r="H102" s="683" t="n"/>
      <c r="I102" s="683" t="n"/>
      <c r="J102" s="683" t="n"/>
      <c r="K102" s="683" t="n"/>
      <c r="L102" s="683" t="n"/>
      <c r="M102" s="683" t="inlineStr">
        <is>
          <t>Mục QL gói cước - UC danh sách gói cước STT 24</t>
        </is>
      </c>
    </row>
    <row r="103" ht="48" customHeight="1" s="668">
      <c r="A103" s="684">
        <f>$C$4&amp;"-"&amp;TEXT(COUNTA($D$12:D103),"00")</f>
        <v/>
      </c>
      <c r="B103" s="687" t="n"/>
      <c r="C103" s="685" t="inlineStr">
        <is>
          <t>Kiểm tra thay đổi số bản ghi/trang</t>
        </is>
      </c>
      <c r="D103" s="685" t="inlineStr">
        <is>
          <t>ĐK: Đang ở trang 2
1. Chọn 20 dòng</t>
        </is>
      </c>
      <c r="E103" s="685" t="inlineStr">
        <is>
          <t>1. 
- Tải lại dữ liệu, tự động quay về trang 1
- Hiển thị tối đa 20 loại gói cước/trang</t>
        </is>
      </c>
      <c r="F103" s="683" t="n"/>
      <c r="G103" s="686" t="inlineStr">
        <is>
          <t>24/09/2026</t>
        </is>
      </c>
      <c r="H103" s="683" t="n"/>
      <c r="I103" s="683" t="n"/>
      <c r="J103" s="683" t="n"/>
      <c r="K103" s="683" t="n"/>
      <c r="L103" s="683" t="n"/>
      <c r="M103" s="683" t="inlineStr">
        <is>
          <t>Mục QL gói cước - UC danh sách gói cước STT 24</t>
        </is>
      </c>
    </row>
    <row r="104" ht="48" customHeight="1" s="668">
      <c r="A104" s="684">
        <f>$C$4&amp;"-"&amp;TEXT(COUNTA($D$12:D104),"00")</f>
        <v/>
      </c>
      <c r="B104" s="678" t="n"/>
      <c r="C104" s="685" t="inlineStr">
        <is>
          <t>Kiểm tra số bản ghi/trang chỉ tính dòng cha</t>
        </is>
      </c>
      <c r="D104" s="685" t="inlineStr">
        <is>
          <t>ĐK: Có 11 loại gói cước, mỗi loại có nhiều gói con, chọn 10 dòng
1. Mở rộng các dòng cha
2. Kiểm tra trang 1</t>
        </is>
      </c>
      <c r="E104" s="685" t="inlineStr">
        <is>
          <t>2. Trang 1 hiển thị 10 loại gói cước kèm toàn bộ gói con; loại gói thứ 11 ở trang 2</t>
        </is>
      </c>
      <c r="F104" s="683" t="n"/>
      <c r="G104" s="686" t="inlineStr">
        <is>
          <t>24/09/2026</t>
        </is>
      </c>
      <c r="H104" s="683" t="n"/>
      <c r="I104" s="683" t="n"/>
      <c r="J104" s="683" t="n"/>
      <c r="K104" s="683" t="n"/>
      <c r="L104" s="683" t="n"/>
      <c r="M104" s="683" t="inlineStr">
        <is>
          <t>Mục QL gói cước - UC danh sách gói cước STT 24 - Kỹ thuật: Phân tích giá trị biên</t>
        </is>
      </c>
    </row>
    <row r="105" ht="32" customHeight="1" s="668">
      <c r="A105" s="684">
        <f>$C$4&amp;"-"&amp;TEXT(COUNTA($D$12:D105),"00")</f>
        <v/>
      </c>
      <c r="B105" s="685" t="inlineStr">
        <is>
          <t>Thông tin hiển thị</t>
        </is>
      </c>
      <c r="C105" s="685" t="inlineStr">
        <is>
          <t>Kiểm tra text thông tin số bản ghi</t>
        </is>
      </c>
      <c r="D105" s="685" t="inlineStr">
        <is>
          <t>ĐK: Có 112 loại gói cước, 10 dòng/trang
1. Kiểm tra text chân trang</t>
        </is>
      </c>
      <c r="E105" s="685" t="inlineStr">
        <is>
          <t>1. Hiển thị: "Hiển thị 1–10 trong tổng số 112 kết quả"</t>
        </is>
      </c>
      <c r="F105" s="683" t="n"/>
      <c r="G105" s="686" t="inlineStr">
        <is>
          <t>24/09/2026</t>
        </is>
      </c>
      <c r="H105" s="683" t="n"/>
      <c r="I105" s="683" t="n"/>
      <c r="J105" s="683" t="n"/>
      <c r="K105" s="683" t="n"/>
      <c r="L105" s="683" t="n"/>
      <c r="M105" s="683" t="inlineStr">
        <is>
          <t>Mục QL gói cước - UC danh sách gói cước STT 25</t>
        </is>
      </c>
    </row>
    <row r="106" ht="48" customHeight="1" s="668">
      <c r="A106" s="684">
        <f>$C$4&amp;"-"&amp;TEXT(COUNTA($D$12:D106),"00")</f>
        <v/>
      </c>
      <c r="B106" s="678" t="n"/>
      <c r="C106" s="685" t="inlineStr">
        <is>
          <t>Kiểm tra text thông tin ở trang cuối</t>
        </is>
      </c>
      <c r="D106" s="685" t="inlineStr">
        <is>
          <t>ĐK: Có 112 loại gói cước, 10 dòng/trang
1. Chuyển đến trang cuối</t>
        </is>
      </c>
      <c r="E106" s="685" t="inlineStr">
        <is>
          <t>1. Hiển thị: "Hiển thị 111–112 trong tổng số 112 kết quả"</t>
        </is>
      </c>
      <c r="F106" s="683" t="n"/>
      <c r="G106" s="686" t="inlineStr">
        <is>
          <t>24/09/2026</t>
        </is>
      </c>
      <c r="H106" s="683" t="n"/>
      <c r="I106" s="683" t="n"/>
      <c r="J106" s="683" t="n"/>
      <c r="K106" s="683" t="n"/>
      <c r="L106" s="683" t="n"/>
      <c r="M106" s="683" t="inlineStr">
        <is>
          <t>Mục QL gói cước - UC danh sách gói cước STT 25 - Kỹ thuật: Phân tích giá trị biên</t>
        </is>
      </c>
    </row>
    <row r="107" ht="48" customHeight="1" s="668">
      <c r="A107" s="684">
        <f>$C$4&amp;"-"&amp;TEXT(COUNTA($D$12:D107),"00")</f>
        <v/>
      </c>
      <c r="B107" s="685" t="inlineStr">
        <is>
          <t>Điều hướng phân trang</t>
        </is>
      </c>
      <c r="C107" s="685" t="inlineStr">
        <is>
          <t>Kiểm tra nút ← khi ở trang đầu</t>
        </is>
      </c>
      <c r="D107" s="685" t="inlineStr">
        <is>
          <t>1. Đang ở trang 1
2. Kiểm tra nút ←</t>
        </is>
      </c>
      <c r="E107" s="685" t="inlineStr">
        <is>
          <t>2. Nút ← bị vô hiệu hoá</t>
        </is>
      </c>
      <c r="F107" s="683" t="n"/>
      <c r="G107" s="686" t="inlineStr">
        <is>
          <t>24/09/2026</t>
        </is>
      </c>
      <c r="H107" s="683" t="n"/>
      <c r="I107" s="683" t="n"/>
      <c r="J107" s="683" t="n"/>
      <c r="K107" s="683" t="n"/>
      <c r="L107" s="683" t="n"/>
      <c r="M107" s="683" t="inlineStr">
        <is>
          <t>Mục QL gói cước - UC danh sách gói cước STT 26 - Kỹ thuật: Phân tích giá trị biên</t>
        </is>
      </c>
    </row>
    <row r="108" ht="48" customHeight="1" s="668">
      <c r="A108" s="684">
        <f>$C$4&amp;"-"&amp;TEXT(COUNTA($D$12:D108),"00")</f>
        <v/>
      </c>
      <c r="B108" s="687" t="n"/>
      <c r="C108" s="685" t="inlineStr">
        <is>
          <t>Kiểm tra nút → khi ở trang cuối</t>
        </is>
      </c>
      <c r="D108" s="685" t="inlineStr">
        <is>
          <t>1. Chuyển đến trang cuối
2. Kiểm tra nút →</t>
        </is>
      </c>
      <c r="E108" s="685" t="inlineStr">
        <is>
          <t>2. Nút → bị vô hiệu hoá</t>
        </is>
      </c>
      <c r="F108" s="683" t="n"/>
      <c r="G108" s="686" t="inlineStr">
        <is>
          <t>24/09/2026</t>
        </is>
      </c>
      <c r="H108" s="683" t="n"/>
      <c r="I108" s="683" t="n"/>
      <c r="J108" s="683" t="n"/>
      <c r="K108" s="683" t="n"/>
      <c r="L108" s="683" t="n"/>
      <c r="M108" s="683" t="inlineStr">
        <is>
          <t>Mục QL gói cước - UC danh sách gói cước STT 26 - Kỹ thuật: Phân tích giá trị biên</t>
        </is>
      </c>
    </row>
    <row r="109" ht="48" customHeight="1" s="668">
      <c r="A109" s="684">
        <f>$C$4&amp;"-"&amp;TEXT(COUNTA($D$12:D109),"00")</f>
        <v/>
      </c>
      <c r="B109" s="687" t="n"/>
      <c r="C109" s="685" t="inlineStr">
        <is>
          <t>Kiểm tra click số trang</t>
        </is>
      </c>
      <c r="D109" s="685" t="inlineStr">
        <is>
          <t>1. Click số trang 2</t>
        </is>
      </c>
      <c r="E109" s="685" t="inlineStr">
        <is>
          <t>1. 
- Hiển thị dữ liệu trang 2, nối tiếp trang 1
- Số trang 2 active nền/chữ đỏ</t>
        </is>
      </c>
      <c r="F109" s="683" t="n"/>
      <c r="G109" s="686" t="inlineStr">
        <is>
          <t>24/09/2026</t>
        </is>
      </c>
      <c r="H109" s="683" t="n"/>
      <c r="I109" s="683" t="n"/>
      <c r="J109" s="683" t="n"/>
      <c r="K109" s="683" t="n"/>
      <c r="L109" s="683" t="n"/>
      <c r="M109" s="683" t="inlineStr">
        <is>
          <t>Mục QL gói cước - UC danh sách gói cước STT 26</t>
        </is>
      </c>
    </row>
    <row r="110" ht="32" customHeight="1" s="668">
      <c r="A110" s="684">
        <f>$C$4&amp;"-"&amp;TEXT(COUNTA($D$12:D110),"00")</f>
        <v/>
      </c>
      <c r="B110" s="687" t="n"/>
      <c r="C110" s="685" t="inlineStr">
        <is>
          <t>Kiểm tra click nút → và ←</t>
        </is>
      </c>
      <c r="D110" s="685" t="inlineStr">
        <is>
          <t>1. Đang ở trang 1, click →
2. Click ←</t>
        </is>
      </c>
      <c r="E110" s="685" t="inlineStr">
        <is>
          <t>1. Chuyển sang trang 2
2. Quay lại trang 1</t>
        </is>
      </c>
      <c r="F110" s="683" t="n"/>
      <c r="G110" s="686" t="inlineStr">
        <is>
          <t>24/09/2026</t>
        </is>
      </c>
      <c r="H110" s="683" t="n"/>
      <c r="I110" s="683" t="n"/>
      <c r="J110" s="683" t="n"/>
      <c r="K110" s="683" t="n"/>
      <c r="L110" s="683" t="n"/>
      <c r="M110" s="683" t="inlineStr">
        <is>
          <t>Mục QL gói cước - UC danh sách gói cước STT 26</t>
        </is>
      </c>
    </row>
    <row r="111" ht="48" customHeight="1" s="668">
      <c r="A111" s="684">
        <f>$C$4&amp;"-"&amp;TEXT(COUNTA($D$12:D111),"00")</f>
        <v/>
      </c>
      <c r="B111" s="687" t="n"/>
      <c r="C111" s="685" t="inlineStr">
        <is>
          <t>Kiểm tra phân trang khi số loại gói ≤ số bản ghi/trang</t>
        </is>
      </c>
      <c r="D111" s="685" t="inlineStr">
        <is>
          <t>ĐK: Có 10 loại gói cước, chọn 10 dòng
1. Kiểm tra phân trang</t>
        </is>
      </c>
      <c r="E111" s="685" t="inlineStr">
        <is>
          <t>1. Chỉ có 1 trang, nút ← và → đều bị vô hiệu hoá</t>
        </is>
      </c>
      <c r="F111" s="683" t="n"/>
      <c r="G111" s="686" t="inlineStr">
        <is>
          <t>24/09/2026</t>
        </is>
      </c>
      <c r="H111" s="683" t="n"/>
      <c r="I111" s="683" t="n"/>
      <c r="J111" s="683" t="n"/>
      <c r="K111" s="683" t="n"/>
      <c r="L111" s="683" t="n"/>
      <c r="M111" s="683" t="inlineStr">
        <is>
          <t>Mục QL gói cước - UC danh sách gói cước STT 26 - Kỹ thuật: Phân tích giá trị biên</t>
        </is>
      </c>
    </row>
    <row r="112" ht="32" customHeight="1" s="668">
      <c r="A112" s="684">
        <f>$C$4&amp;"-"&amp;TEXT(COUNTA($D$12:D112),"00")</f>
        <v/>
      </c>
      <c r="B112" s="678" t="n"/>
      <c r="C112" s="685" t="inlineStr">
        <is>
          <t>Kiểm tra hiển thị "..." khi nhiều trang</t>
        </is>
      </c>
      <c r="D112" s="685" t="inlineStr">
        <is>
          <t>ĐK: Có 15 trang
1. Kiểm tra dãy số trang</t>
        </is>
      </c>
      <c r="E112" s="685" t="inlineStr">
        <is>
          <t>1. Hiển thị 1, 2, 3, ..., 15 theo design</t>
        </is>
      </c>
      <c r="F112" s="683" t="n"/>
      <c r="G112" s="686" t="inlineStr">
        <is>
          <t>24/09/2026</t>
        </is>
      </c>
      <c r="H112" s="683" t="n"/>
      <c r="I112" s="683" t="n"/>
      <c r="J112" s="683" t="n"/>
      <c r="K112" s="683" t="n"/>
      <c r="L112" s="683" t="n"/>
      <c r="M112" s="683" t="inlineStr">
        <is>
          <t>Mục QL gói cước - UC danh sách gói cước STT 26</t>
        </is>
      </c>
    </row>
    <row r="113" ht="20" customHeight="1" s="668">
      <c r="A113" s="682" t="inlineStr">
        <is>
          <t>Kiểm tra ngoại lệ &amp; phi chức năng</t>
        </is>
      </c>
      <c r="B113" s="672" t="n"/>
      <c r="C113" s="672" t="n"/>
      <c r="D113" s="672" t="n"/>
      <c r="E113" s="672" t="n"/>
      <c r="F113" s="672" t="n"/>
      <c r="G113" s="672" t="n"/>
      <c r="H113" s="672" t="n"/>
      <c r="I113" s="672" t="n"/>
      <c r="J113" s="672" t="n"/>
      <c r="K113" s="673" t="n"/>
      <c r="L113" s="683" t="n"/>
      <c r="M113" s="683" t="n"/>
    </row>
    <row r="114" ht="48" customHeight="1" s="668">
      <c r="A114" s="684">
        <f>$C$4&amp;"-"&amp;TEXT(COUNTA($D$12:D114),"00")</f>
        <v/>
      </c>
      <c r="B114" s="685" t="inlineStr">
        <is>
          <t>Lỗi mạng</t>
        </is>
      </c>
      <c r="C114" s="685" t="inlineStr">
        <is>
          <t>Kiểm tra tải danh sách khi mất kết nối mạng</t>
        </is>
      </c>
      <c r="D114" s="685" t="inlineStr">
        <is>
          <t>1. Ngắt kết nối mạng
2. Truy cập màn hình Quản lý gói cước</t>
        </is>
      </c>
      <c r="E114" s="685" t="inlineStr">
        <is>
          <t>2. Hiển thị toast "Thất bại. Vui lòng kiểm tra lại kết nối." và cho phép người dùng thử lại</t>
        </is>
      </c>
      <c r="F114" s="683" t="n"/>
      <c r="G114" s="686" t="inlineStr">
        <is>
          <t>24/09/2026</t>
        </is>
      </c>
      <c r="H114" s="683" t="n"/>
      <c r="I114" s="683" t="n"/>
      <c r="J114" s="683" t="n"/>
      <c r="K114" s="683" t="n"/>
      <c r="L114" s="683" t="n"/>
      <c r="M114" s="683" t="inlineStr">
        <is>
          <t>Mục QL gói cước - UC danh sách gói cước Exception 2b</t>
        </is>
      </c>
    </row>
    <row r="115" ht="48" customHeight="1" s="668">
      <c r="A115" s="684">
        <f>$C$4&amp;"-"&amp;TEXT(COUNTA($D$12:D115),"00")</f>
        <v/>
      </c>
      <c r="B115" s="678" t="n"/>
      <c r="C115" s="685" t="inlineStr">
        <is>
          <t>Kiểm tra thử lại sau khi có mạng trở lại</t>
        </is>
      </c>
      <c r="D115" s="685" t="inlineStr">
        <is>
          <t>ĐK: Đang hiển thị toast lỗi mạng
1. Bật lại mạng
2. Thực hiện thử lại</t>
        </is>
      </c>
      <c r="E115" s="685" t="inlineStr">
        <is>
          <t>2. Danh sách tải thành công, hiển thị đúng dữ liệu</t>
        </is>
      </c>
      <c r="F115" s="683" t="n"/>
      <c r="G115" s="686" t="inlineStr">
        <is>
          <t>24/09/2026</t>
        </is>
      </c>
      <c r="H115" s="683" t="n"/>
      <c r="I115" s="683" t="n"/>
      <c r="J115" s="683" t="n"/>
      <c r="K115" s="683" t="n"/>
      <c r="L115" s="683" t="n"/>
      <c r="M115" s="683" t="inlineStr">
        <is>
          <t>Mục QL gói cước - UC danh sách gói cước Exception 2b</t>
        </is>
      </c>
    </row>
    <row r="116" ht="48" customHeight="1" s="668">
      <c r="A116" s="684">
        <f>$C$4&amp;"-"&amp;TEXT(COUNTA($D$12:D116),"00")</f>
        <v/>
      </c>
      <c r="B116" s="685" t="inlineStr">
        <is>
          <t>Lỗi hệ thống</t>
        </is>
      </c>
      <c r="C116" s="685" t="inlineStr">
        <is>
          <t>Kiểm tra tải danh sách khi API lỗi hệ thống</t>
        </is>
      </c>
      <c r="D116" s="685" t="inlineStr">
        <is>
          <t>ĐK: API danh sách trả lỗi 500
1. Truy cập màn hình Quản lý gói cước</t>
        </is>
      </c>
      <c r="E116" s="685" t="inlineStr">
        <is>
          <t>1. Hiển thị toast "Hệ thống bận. Vui lòng thử lại sau." kèm mã lỗi tương ứng, cho phép thử lại</t>
        </is>
      </c>
      <c r="F116" s="683" t="n"/>
      <c r="G116" s="686" t="inlineStr">
        <is>
          <t>24/09/2026</t>
        </is>
      </c>
      <c r="H116" s="683" t="n"/>
      <c r="I116" s="683" t="n"/>
      <c r="J116" s="683" t="n"/>
      <c r="K116" s="683" t="n"/>
      <c r="L116" s="683" t="n"/>
      <c r="M116" s="683" t="inlineStr">
        <is>
          <t>Mục QL gói cước - UC danh sách gói cước Exception 2c</t>
        </is>
      </c>
    </row>
    <row r="117" ht="80" customHeight="1" s="668">
      <c r="A117" s="684">
        <f>$C$4&amp;"-"&amp;TEXT(COUNTA($D$12:D117),"00")</f>
        <v/>
      </c>
      <c r="B117" s="685" t="inlineStr">
        <is>
          <t>Phân quyền</t>
        </is>
      </c>
      <c r="C117" s="685" t="inlineStr">
        <is>
          <t>Kiểm tra truy cập khi tài khoản không có quyền xem phân hệ Gói cước</t>
        </is>
      </c>
      <c r="D117" s="685" t="inlineStr">
        <is>
          <t>ĐK: Tài khoản Admin không có quyền phân hệ Gói cước
1. Đăng nhập CMS
2. Kiểm tra menu / truy cập trực tiếp URL màn hình</t>
        </is>
      </c>
      <c r="E117" s="685" t="inlineStr">
        <is>
          <t>2. Không hiển thị menu Quản lý gói cước; truy cập URL trực tiếp bị chặn</t>
        </is>
      </c>
      <c r="F117" s="683" t="n"/>
      <c r="G117" s="686" t="inlineStr">
        <is>
          <t>24/09/2026</t>
        </is>
      </c>
      <c r="H117" s="683" t="n"/>
      <c r="I117" s="683" t="n"/>
      <c r="J117" s="683" t="n"/>
      <c r="K117" s="683" t="n"/>
      <c r="L117" s="683" t="n"/>
      <c r="M117" s="683" t="inlineStr">
        <is>
          <t>Mục QL gói cước - UC danh sách gói cước Pre-condition 2, NFR 3.1 - SRS chưa nêu hành vi khi không có quyền, Cần BA confirm</t>
        </is>
      </c>
    </row>
    <row r="118" ht="32" customHeight="1" s="668">
      <c r="A118" s="684">
        <f>$C$4&amp;"-"&amp;TEXT(COUNTA($D$12:D118),"00")</f>
        <v/>
      </c>
      <c r="B118" s="685" t="inlineStr">
        <is>
          <t>Dữ liệu</t>
        </is>
      </c>
      <c r="C118" s="685" t="inlineStr">
        <is>
          <t>Kiểm tra dữ liệu danh sách khớp với CSDL</t>
        </is>
      </c>
      <c r="D118" s="685" t="inlineStr">
        <is>
          <t>1. Mở rộng các dòng cha
2. Đối chiếu Mã gói, Chu kỳ, Giá, Kênh bán, Loại hình, Trạng thái với DB</t>
        </is>
      </c>
      <c r="E118" s="685" t="inlineStr">
        <is>
          <t>2. Dữ liệu hiển thị khớp CSDL; xem danh sách không làm thay đổi dữ liệu</t>
        </is>
      </c>
      <c r="F118" s="683" t="n"/>
      <c r="G118" s="686" t="inlineStr">
        <is>
          <t>24/09/2026</t>
        </is>
      </c>
      <c r="H118" s="683" t="n"/>
      <c r="I118" s="683" t="n"/>
      <c r="J118" s="683" t="n"/>
      <c r="K118" s="683" t="n"/>
      <c r="L118" s="683" t="n"/>
      <c r="M118" s="683" t="inlineStr">
        <is>
          <t>Mục QL gói cước - UC danh sách gói cước Post-condition</t>
        </is>
      </c>
    </row>
    <row r="119" ht="48" customHeight="1" s="668">
      <c r="A119" s="684">
        <f>$C$4&amp;"-"&amp;TEXT(COUNTA($D$12:D119),"00")</f>
        <v/>
      </c>
      <c r="B119" s="685" t="inlineStr">
        <is>
          <t>Hiệu năng</t>
        </is>
      </c>
      <c r="C119" s="685" t="inlineStr">
        <is>
          <t>Kiểm tra thời gian tải danh sách</t>
        </is>
      </c>
      <c r="D119" s="685" t="inlineStr">
        <is>
          <t>ĐK: Có ≥ 100 loại gói cước
1. Truy cập màn hình Quản lý gói cước
2. Đo thời gian phản hồi API</t>
        </is>
      </c>
      <c r="E119" s="685" t="inlineStr">
        <is>
          <t>2. API phản hồi &lt; 500ms</t>
        </is>
      </c>
      <c r="F119" s="683" t="n"/>
      <c r="G119" s="686" t="inlineStr">
        <is>
          <t>24/09/2026</t>
        </is>
      </c>
      <c r="H119" s="683" t="n"/>
      <c r="I119" s="683" t="n"/>
      <c r="J119" s="683" t="n"/>
      <c r="K119" s="683" t="n"/>
      <c r="L119" s="683" t="n"/>
      <c r="M119" s="683" t="inlineStr">
        <is>
          <t>NFR 1.1</t>
        </is>
      </c>
    </row>
    <row r="120" ht="20" customHeight="1" s="668">
      <c r="A120" s="679" t="inlineStr">
        <is>
          <t>UC2: (CMS admin) Chức năng Tạo mới gói cước</t>
        </is>
      </c>
      <c r="B120" s="672" t="n"/>
      <c r="C120" s="673" t="n"/>
      <c r="D120" s="680" t="n"/>
      <c r="E120" s="680" t="n"/>
      <c r="F120" s="680" t="n"/>
      <c r="G120" s="680" t="n"/>
      <c r="H120" s="680" t="n"/>
      <c r="I120" s="680" t="n"/>
      <c r="J120" s="680" t="n"/>
      <c r="K120" s="680" t="n"/>
      <c r="L120" s="680" t="n"/>
      <c r="M120" s="680" t="n"/>
    </row>
    <row r="121" ht="80" customHeight="1" s="668">
      <c r="A121" s="681" t="inlineStr">
        <is>
          <t xml:space="preserve">Pre-condition: 
Bước 1: Admin đăng nhập thành công vào CMS với quyền Quản lý gói cước
Bước 2: Hệ thống có ít nhất 01 Loại gói cước trạng thái Đang hoạt động
Bước 3: Click menu Quản lý gói cước &gt; mở rộng 1 loại gói &gt; click "+ Thêm gói cước"
</t>
        </is>
      </c>
      <c r="B121" s="672" t="n"/>
      <c r="C121" s="672" t="n"/>
      <c r="D121" s="672" t="n"/>
      <c r="E121" s="672" t="n"/>
      <c r="F121" s="672" t="n"/>
      <c r="G121" s="672" t="n"/>
      <c r="H121" s="672" t="n"/>
      <c r="I121" s="672" t="n"/>
      <c r="J121" s="672" t="n"/>
      <c r="K121" s="672" t="n"/>
      <c r="L121" s="672" t="n"/>
      <c r="M121" s="673" t="n"/>
    </row>
    <row r="122" ht="20" customHeight="1" s="668">
      <c r="A122" s="682" t="inlineStr">
        <is>
          <t>Kiểm tra gui UI/UX</t>
        </is>
      </c>
      <c r="B122" s="672" t="n"/>
      <c r="C122" s="672" t="n"/>
      <c r="D122" s="672" t="n"/>
      <c r="E122" s="672" t="n"/>
      <c r="F122" s="672" t="n"/>
      <c r="G122" s="672" t="n"/>
      <c r="H122" s="672" t="n"/>
      <c r="I122" s="672" t="n"/>
      <c r="J122" s="672" t="n"/>
      <c r="K122" s="673" t="n"/>
      <c r="L122" s="683" t="n"/>
      <c r="M122" s="683" t="n"/>
    </row>
    <row r="123" ht="128" customHeight="1" s="668">
      <c r="A123" s="684">
        <f>$C$4&amp;"-"&amp;TEXT(COUNTA($D$12:D123),"00")</f>
        <v/>
      </c>
      <c r="B123" s="685" t="inlineStr">
        <is>
          <t>Kiểm tra UI</t>
        </is>
      </c>
      <c r="C123" s="685" t="inlineStr">
        <is>
          <t>Kiểm tra hiển thị giao diện</t>
        </is>
      </c>
      <c r="D123" s="685" t="inlineStr">
        <is>
          <t>1. Vào màn Tạo gói cước mới
2. Check hiển thị</t>
        </is>
      </c>
      <c r="E123" s="685" t="inlineStr">
        <is>
          <t>2. Hiển thị màn Tạo gói cước mới đúng design gồm:
+ Icon Back, tiêu đề "Tạo gói cước mới", button Lưu
+ Khối Thông tin cơ bản: Mã gói cước, Tag, Mô tả, Chu kỳ, Đơn vị, Giá gốc, Đơn vị tính
+ Khối Thuộc tính: Loại hình gói, Kênh bán, Bật/tắt trạng thái và các trường phụ thuộc
+ Khối Danh sách tính năng theo loại gói</t>
        </is>
      </c>
      <c r="F123" s="683" t="n"/>
      <c r="G123" s="686" t="inlineStr">
        <is>
          <t>24/09/2026</t>
        </is>
      </c>
      <c r="H123" s="683" t="n"/>
      <c r="I123" s="683" t="n"/>
      <c r="J123" s="683" t="n"/>
      <c r="K123" s="683" t="n"/>
      <c r="L123" s="683" t="n"/>
      <c r="M123" s="683" t="inlineStr">
        <is>
          <t>Mục QL gói cước - UC2 tạo mới gói cước - Mô tả màn hình</t>
        </is>
      </c>
    </row>
    <row r="124" ht="96" customHeight="1" s="668">
      <c r="A124" s="684">
        <f>$C$4&amp;"-"&amp;TEXT(COUNTA($D$12:D124),"00")</f>
        <v/>
      </c>
      <c r="B124" s="687" t="n"/>
      <c r="C124" s="685" t="inlineStr">
        <is>
          <t>Kiểm tra tổng thể giao diện màn hình</t>
        </is>
      </c>
      <c r="D124" s="685" t="inlineStr">
        <is>
          <t>1. Kiểm tra về bố cục, font chữ, chính tả, màu chữ</t>
        </is>
      </c>
      <c r="E124" s="685" t="inlineStr">
        <is>
          <t>1. 
- Các label, có độ dài, rộng và khoảng cách bằng nhau, không xô lệch
- Các label sử dụng cùng 1 loại font, cỡ chữ, căn lề
- Kiểm tra tất cả lỗi về chính tả, cấu trúc câu, ngữ pháp trên màn hình
- Form được bố trí hợp lý và dễ sử dụng</t>
        </is>
      </c>
      <c r="F124" s="683" t="n"/>
      <c r="G124" s="686" t="inlineStr">
        <is>
          <t>24/09/2026</t>
        </is>
      </c>
      <c r="H124" s="683" t="n"/>
      <c r="I124" s="683" t="n"/>
      <c r="J124" s="683" t="n"/>
      <c r="K124" s="683" t="n"/>
      <c r="L124" s="683" t="n"/>
      <c r="M124" s="683" t="n"/>
    </row>
    <row r="125" ht="32" customHeight="1" s="668">
      <c r="A125" s="684">
        <f>$C$4&amp;"-"&amp;TEXT(COUNTA($D$12:D125),"00")</f>
        <v/>
      </c>
      <c r="B125" s="687" t="n"/>
      <c r="C125" s="685" t="inlineStr">
        <is>
          <t>Kiểm tra khi nhấn Tab</t>
        </is>
      </c>
      <c r="D125" s="685" t="inlineStr">
        <is>
          <t>1. Thực hiện nhấn nút Tab ở bàn phím máy tính
2. Check hiển thị</t>
        </is>
      </c>
      <c r="E125" s="685" t="inlineStr">
        <is>
          <t>2. Con trỏ di chuyển lần lượt theo thứ tự: Từ trái qua phải, từ trên xuống dưới</t>
        </is>
      </c>
      <c r="F125" s="683" t="n"/>
      <c r="G125" s="686" t="inlineStr">
        <is>
          <t>24/09/2026</t>
        </is>
      </c>
      <c r="H125" s="683" t="n"/>
      <c r="I125" s="683" t="n"/>
      <c r="J125" s="683" t="n"/>
      <c r="K125" s="683" t="n"/>
      <c r="L125" s="683" t="n"/>
      <c r="M125" s="683" t="n"/>
    </row>
    <row r="126" ht="32" customHeight="1" s="668">
      <c r="A126" s="684">
        <f>$C$4&amp;"-"&amp;TEXT(COUNTA($D$12:D126),"00")</f>
        <v/>
      </c>
      <c r="B126" s="687" t="n"/>
      <c r="C126" s="685" t="inlineStr">
        <is>
          <t>Kiểm tra khi nhấn Shift-tab</t>
        </is>
      </c>
      <c r="D126" s="685" t="inlineStr">
        <is>
          <t>1. Thực hiện nhấn nút Shift-Tab ở bàn phím máy tính
2. Check hiển thị</t>
        </is>
      </c>
      <c r="E126" s="685" t="inlineStr">
        <is>
          <t>2. Con trỏ di chuyển ngược lại theo thứ tự: từ dưới lên trên, từ phải qua trái</t>
        </is>
      </c>
      <c r="F126" s="683" t="n"/>
      <c r="G126" s="686" t="inlineStr">
        <is>
          <t>24/09/2026</t>
        </is>
      </c>
      <c r="H126" s="683" t="n"/>
      <c r="I126" s="683" t="n"/>
      <c r="J126" s="683" t="n"/>
      <c r="K126" s="683" t="n"/>
      <c r="L126" s="683" t="n"/>
      <c r="M126" s="683" t="n"/>
    </row>
    <row r="127" ht="32" customHeight="1" s="668">
      <c r="A127" s="684">
        <f>$C$4&amp;"-"&amp;TEXT(COUNTA($D$12:D127),"00")</f>
        <v/>
      </c>
      <c r="B127" s="687" t="n"/>
      <c r="C127" s="685" t="inlineStr">
        <is>
          <t>Kiểm tra giao diện khi thu nhỏ, phóng to</t>
        </is>
      </c>
      <c r="D127" s="685" t="inlineStr">
        <is>
          <t>1. Thực hiện zoom in, zoom out &gt; check hiển thị</t>
        </is>
      </c>
      <c r="E127" s="685" t="inlineStr">
        <is>
          <t>1. Hiển thị màn hình phóng to, thu nhỏ không bị xô lệch, vỡ form</t>
        </is>
      </c>
      <c r="F127" s="683" t="n"/>
      <c r="G127" s="686" t="inlineStr">
        <is>
          <t>24/09/2026</t>
        </is>
      </c>
      <c r="H127" s="683" t="n"/>
      <c r="I127" s="683" t="n"/>
      <c r="J127" s="683" t="n"/>
      <c r="K127" s="683" t="n"/>
      <c r="L127" s="683" t="n"/>
      <c r="M127" s="683" t="n"/>
    </row>
    <row r="128" ht="32" customHeight="1" s="668">
      <c r="A128" s="684">
        <f>$C$4&amp;"-"&amp;TEXT(COUNTA($D$12:D128),"00")</f>
        <v/>
      </c>
      <c r="B128" s="687" t="n"/>
      <c r="C128" s="685" t="inlineStr">
        <is>
          <t>Kiểm tra tiêu đề</t>
        </is>
      </c>
      <c r="D128" s="685" t="inlineStr">
        <is>
          <t>1. Kiểm tra text tiêu đề</t>
        </is>
      </c>
      <c r="E128" s="685" t="inlineStr">
        <is>
          <t>1. Hiển thị tiêu đề text là "Tạo gói cước mới"</t>
        </is>
      </c>
      <c r="F128" s="683" t="n"/>
      <c r="G128" s="686" t="inlineStr">
        <is>
          <t>24/09/2026</t>
        </is>
      </c>
      <c r="H128" s="683" t="n"/>
      <c r="I128" s="683" t="n"/>
      <c r="J128" s="683" t="n"/>
      <c r="K128" s="683" t="n"/>
      <c r="L128" s="683" t="n"/>
      <c r="M128" s="683" t="inlineStr">
        <is>
          <t>Theo design</t>
        </is>
      </c>
    </row>
    <row r="129" ht="64" customHeight="1" s="668">
      <c r="A129" s="684">
        <f>$C$4&amp;"-"&amp;TEXT(COUNTA($D$12:D129),"00")</f>
        <v/>
      </c>
      <c r="B129" s="687" t="n"/>
      <c r="C129" s="685" t="inlineStr">
        <is>
          <t>Kiểm tra dấu * các trường bắt buộc</t>
        </is>
      </c>
      <c r="D129" s="685" t="inlineStr">
        <is>
          <t>1. Kiểm tra label các trường</t>
        </is>
      </c>
      <c r="E129" s="685" t="inlineStr">
        <is>
          <t>1. Hiển thị dấu * đỏ tại: Mã gói cước, Chu kỳ, Đơn vị, Giá gốc, Đơn vị tính, Loại hình gói, Kênh bán, Bật/tắt trạng thái, Loại gói cước, Tham số</t>
        </is>
      </c>
      <c r="F129" s="683" t="n"/>
      <c r="G129" s="686" t="inlineStr">
        <is>
          <t>24/09/2026</t>
        </is>
      </c>
      <c r="H129" s="683" t="n"/>
      <c r="I129" s="683" t="n"/>
      <c r="J129" s="683" t="n"/>
      <c r="K129" s="683" t="n"/>
      <c r="L129" s="683" t="n"/>
      <c r="M129" s="683" t="inlineStr">
        <is>
          <t>Mục QL gói cước - UC2 tạo mới gói cước - Design có * tại Mô tả và Tag nhưng SRS ghi Bắt buộc = Không - Cần BA confirm</t>
        </is>
      </c>
    </row>
    <row r="130" ht="96" customHeight="1" s="668">
      <c r="A130" s="684">
        <f>$C$4&amp;"-"&amp;TEXT(COUNTA($D$12:D130),"00")</f>
        <v/>
      </c>
      <c r="B130" s="687" t="n"/>
      <c r="C130" s="685" t="inlineStr">
        <is>
          <t>Kiểm tra giá trị mặc định khi mở form</t>
        </is>
      </c>
      <c r="D130" s="685" t="inlineStr">
        <is>
          <t>1. Kiểm tra giá trị mặc định các trường</t>
        </is>
      </c>
      <c r="E130" s="685" t="inlineStr">
        <is>
          <t>1. 
- Mã gói, Mô tả, Chu kỳ, Giá gốc, Tag, Kênh bán: rỗng
- Đơn vị: Ngày; Đơn vị tính: VNĐ
- Loại hình gói: Gói chính
- Bật/tắt trạng thái: Thủ công; Trạng thái kinh doanh: Đang kinh doanh
- Số lượng đăng ký giới hạn: rỗng</t>
        </is>
      </c>
      <c r="F130" s="683" t="n"/>
      <c r="G130" s="686" t="inlineStr">
        <is>
          <t>24/09/2026</t>
        </is>
      </c>
      <c r="H130" s="683" t="n"/>
      <c r="I130" s="683" t="n"/>
      <c r="J130" s="683" t="n"/>
      <c r="K130" s="683" t="n"/>
      <c r="L130" s="683" t="n"/>
      <c r="M130" s="683" t="inlineStr">
        <is>
          <t>Mục QL gói cước - UC2 tạo mới gói cước - cột Giá trị mặc định. Design đang tick sẵn "Tự động" - Cần BA confirm</t>
        </is>
      </c>
    </row>
    <row r="131" ht="32" customHeight="1" s="668">
      <c r="A131" s="684">
        <f>$C$4&amp;"-"&amp;TEXT(COUNTA($D$12:D131),"00")</f>
        <v/>
      </c>
      <c r="B131" s="678" t="n"/>
      <c r="C131" s="685" t="inlineStr">
        <is>
          <t>Kiểm tra button Lưu</t>
        </is>
      </c>
      <c r="D131" s="685" t="inlineStr">
        <is>
          <t>1. Kiểm tra hiển thị button Lưu</t>
        </is>
      </c>
      <c r="E131" s="685" t="inlineStr">
        <is>
          <t>1. Hiển thị button "Lưu" góc phải trên, trạng thái enable</t>
        </is>
      </c>
      <c r="F131" s="683" t="n"/>
      <c r="G131" s="686" t="inlineStr">
        <is>
          <t>24/09/2026</t>
        </is>
      </c>
      <c r="H131" s="683" t="n"/>
      <c r="I131" s="683" t="n"/>
      <c r="J131" s="683" t="n"/>
      <c r="K131" s="683" t="n"/>
      <c r="L131" s="683" t="n"/>
      <c r="M131" s="683" t="inlineStr">
        <is>
          <t>Mục QL gói cước - UC2 tạo mới gói cước Basic flow B5</t>
        </is>
      </c>
    </row>
    <row r="132" ht="20" customHeight="1" s="668">
      <c r="A132" s="682" t="inlineStr">
        <is>
          <t>Kiểm tra validate</t>
        </is>
      </c>
      <c r="B132" s="672" t="n"/>
      <c r="C132" s="672" t="n"/>
      <c r="D132" s="672" t="n"/>
      <c r="E132" s="672" t="n"/>
      <c r="F132" s="672" t="n"/>
      <c r="G132" s="672" t="n"/>
      <c r="H132" s="672" t="n"/>
      <c r="I132" s="672" t="n"/>
      <c r="J132" s="672" t="n"/>
      <c r="K132" s="673" t="n"/>
      <c r="L132" s="683" t="n"/>
      <c r="M132" s="683" t="n"/>
    </row>
    <row r="133" ht="32" customHeight="1" s="668">
      <c r="A133" s="684">
        <f>$C$4&amp;"-"&amp;TEXT(COUNTA($D$12:D133),"00")</f>
        <v/>
      </c>
      <c r="B133" s="685" t="inlineStr">
        <is>
          <t>Kiểm tra trường Mã gói cước</t>
        </is>
      </c>
      <c r="C133" s="685" t="inlineStr">
        <is>
          <t>Kiểm tra hiển thị mặc định</t>
        </is>
      </c>
      <c r="D133" s="685" t="inlineStr">
        <is>
          <t>1. Kiểm tra hiển thị</t>
        </is>
      </c>
      <c r="E133" s="685" t="inlineStr">
        <is>
          <t>1. Hiển thị trường Mã gói cước ban đầu mặc định trống</t>
        </is>
      </c>
      <c r="F133" s="683" t="n"/>
      <c r="G133" s="686" t="inlineStr">
        <is>
          <t>24/09/2026</t>
        </is>
      </c>
      <c r="H133" s="683" t="n"/>
      <c r="I133" s="683" t="n"/>
      <c r="J133" s="683" t="n"/>
      <c r="K133" s="683" t="n"/>
      <c r="L133" s="683" t="n"/>
      <c r="M133" s="683" t="inlineStr">
        <is>
          <t>Mục QL gói cước - UC2 tạo mới gói cước STT 1</t>
        </is>
      </c>
    </row>
    <row r="134" ht="48" customHeight="1" s="668">
      <c r="A134" s="684">
        <f>$C$4&amp;"-"&amp;TEXT(COUNTA($D$12:D134),"00")</f>
        <v/>
      </c>
      <c r="B134" s="687" t="n"/>
      <c r="C134" s="685" t="inlineStr">
        <is>
          <t>Kiểm tra để trống</t>
        </is>
      </c>
      <c r="D134" s="685" t="inlineStr">
        <is>
          <t>1. Để trống Mã gói cước
2. Nhập đủ các trường còn lại hợp lệ
3. Click Lưu</t>
        </is>
      </c>
      <c r="E134" s="685" t="inlineStr">
        <is>
          <t>3. Hiển thị lỗi inline: "Vui lòng nhập thông tin", không lưu gói cước</t>
        </is>
      </c>
      <c r="F134" s="683" t="n"/>
      <c r="G134" s="686" t="inlineStr">
        <is>
          <t>24/09/2026</t>
        </is>
      </c>
      <c r="H134" s="683" t="n"/>
      <c r="I134" s="683" t="n"/>
      <c r="J134" s="683" t="n"/>
      <c r="K134" s="683" t="n"/>
      <c r="L134" s="683" t="n"/>
      <c r="M134" s="683" t="inlineStr">
        <is>
          <t>Mục QL gói cước - UC2 tạo mới gói cước STT 1</t>
        </is>
      </c>
    </row>
    <row r="135" ht="48" customHeight="1" s="668">
      <c r="A135" s="684">
        <f>$C$4&amp;"-"&amp;TEXT(COUNTA($D$12:D135),"00")</f>
        <v/>
      </c>
      <c r="B135" s="687" t="n"/>
      <c r="C135" s="685" t="inlineStr">
        <is>
          <t>Kiểm tra nhập toàn dấu cách</t>
        </is>
      </c>
      <c r="D135" s="685" t="inlineStr">
        <is>
          <t>1. Nhập toàn ký tự space
2. Click Lưu</t>
        </is>
      </c>
      <c r="E135" s="685" t="inlineStr">
        <is>
          <t>2. Hiển thị lỗi inline: "Vui lòng nhập thông tin"</t>
        </is>
      </c>
      <c r="F135" s="683" t="inlineStr">
        <is>
          <t>"     "</t>
        </is>
      </c>
      <c r="G135" s="686" t="inlineStr">
        <is>
          <t>24/09/2026</t>
        </is>
      </c>
      <c r="H135" s="683" t="n"/>
      <c r="I135" s="683" t="n"/>
      <c r="J135" s="683" t="n"/>
      <c r="K135" s="683" t="n"/>
      <c r="L135" s="683" t="n"/>
      <c r="M135" s="683" t="inlineStr">
        <is>
          <t>Mục QL gói cước - UC2 tạo mới gói cước STT 1 - SRS chưa nêu trim, Cần BA confirm</t>
        </is>
      </c>
    </row>
    <row r="136" ht="32" customHeight="1" s="668">
      <c r="A136" s="684">
        <f>$C$4&amp;"-"&amp;TEXT(COUNTA($D$12:D136),"00")</f>
        <v/>
      </c>
      <c r="B136" s="687" t="n"/>
      <c r="C136" s="685" t="inlineStr">
        <is>
          <t>Kiểm tra tự động chuyển chữ thường thành chữ hoa</t>
        </is>
      </c>
      <c r="D136" s="685" t="inlineStr">
        <is>
          <t>1. Nhập "oaplus30"</t>
        </is>
      </c>
      <c r="E136" s="685" t="inlineStr">
        <is>
          <t>1. Trường tự động hiển thị "OAPLUS30"</t>
        </is>
      </c>
      <c r="F136" s="683" t="inlineStr">
        <is>
          <t>oaplus30</t>
        </is>
      </c>
      <c r="G136" s="686" t="inlineStr">
        <is>
          <t>24/09/2026</t>
        </is>
      </c>
      <c r="H136" s="683" t="n"/>
      <c r="I136" s="683" t="n"/>
      <c r="J136" s="683" t="n"/>
      <c r="K136" s="683" t="n"/>
      <c r="L136" s="683" t="n"/>
      <c r="M136" s="683" t="inlineStr">
        <is>
          <t>Mục QL gói cước - UC2 tạo mới gói cước STT 1</t>
        </is>
      </c>
    </row>
    <row r="137" ht="64" customHeight="1" s="668">
      <c r="A137" s="684">
        <f>$C$4&amp;"-"&amp;TEXT(COUNTA($D$12:D137),"00")</f>
        <v/>
      </c>
      <c r="B137" s="687" t="n"/>
      <c r="C137" s="685" t="inlineStr">
        <is>
          <t>Kiểm tra tự động bỏ dấu tiếng Việt</t>
        </is>
      </c>
      <c r="D137" s="685" t="inlineStr">
        <is>
          <t>1. Nhập "gói cước ưu đãi"</t>
        </is>
      </c>
      <c r="E137" s="685" t="inlineStr">
        <is>
          <t>1. Trường tự động hiển thị dạng viết hoa không dấu: "GOI CUOC UU DAI"</t>
        </is>
      </c>
      <c r="F137" s="683" t="inlineStr">
        <is>
          <t>gói cước ưu đãi</t>
        </is>
      </c>
      <c r="G137" s="686" t="inlineStr">
        <is>
          <t>24/09/2026</t>
        </is>
      </c>
      <c r="H137" s="683" t="n"/>
      <c r="I137" s="683" t="n"/>
      <c r="J137" s="683" t="n"/>
      <c r="K137" s="683" t="n"/>
      <c r="L137" s="683" t="n"/>
      <c r="M137" s="683" t="inlineStr">
        <is>
          <t>Mục QL gói cước - UC2 tạo mới gói cước STT 1 - SRS chưa nêu có cho phép khoảng trắng trong mã không, Cần BA confirm</t>
        </is>
      </c>
    </row>
    <row r="138" ht="64" customHeight="1" s="668">
      <c r="A138" s="684">
        <f>$C$4&amp;"-"&amp;TEXT(COUNTA($D$12:D138),"00")</f>
        <v/>
      </c>
      <c r="B138" s="687" t="n"/>
      <c r="C138" s="685" t="inlineStr">
        <is>
          <t>Kiểm tra nhập ký tự đặc biệt</t>
        </is>
      </c>
      <c r="D138" s="685" t="inlineStr">
        <is>
          <t>1. Nhập "OA_PLUS-30@#"
2. Check hiển thị</t>
        </is>
      </c>
      <c r="E138" s="685" t="inlineStr">
        <is>
          <t>2. Hệ thống xử lý theo rule ký tự của mã gói</t>
        </is>
      </c>
      <c r="F138" s="683" t="inlineStr">
        <is>
          <t>OA_PLUS-30@#</t>
        </is>
      </c>
      <c r="G138" s="686" t="inlineStr">
        <is>
          <t>24/09/2026</t>
        </is>
      </c>
      <c r="H138" s="683" t="n"/>
      <c r="I138" s="683" t="n"/>
      <c r="J138" s="683" t="n"/>
      <c r="K138" s="683" t="n"/>
      <c r="L138" s="683" t="n"/>
      <c r="M138" s="683" t="inlineStr">
        <is>
          <t>Mục QL gói cước - UC2 tạo mới gói cước STT 1 - SRS chưa quy định tập ký tự cho phép, Cần BA confirm</t>
        </is>
      </c>
    </row>
    <row r="139" ht="48" customHeight="1" s="668">
      <c r="A139" s="684">
        <f>$C$4&amp;"-"&amp;TEXT(COUNTA($D$12:D139),"00")</f>
        <v/>
      </c>
      <c r="B139" s="687" t="n"/>
      <c r="C139" s="685" t="inlineStr">
        <is>
          <t>Kiểm tra nhập 49 ký tự</t>
        </is>
      </c>
      <c r="D139" s="685" t="inlineStr">
        <is>
          <t>1. Nhập 49 ký tự
2. Check hiển thị</t>
        </is>
      </c>
      <c r="E139" s="685" t="inlineStr">
        <is>
          <t>2. Hiển thị đủ 49 ký tự vừa nhập, không báo lỗi</t>
        </is>
      </c>
      <c r="F139" s="683" t="inlineStr">
        <is>
          <t>Chuỗi 49 ký tự</t>
        </is>
      </c>
      <c r="G139" s="686" t="inlineStr">
        <is>
          <t>24/09/2026</t>
        </is>
      </c>
      <c r="H139" s="683" t="n"/>
      <c r="I139" s="683" t="n"/>
      <c r="J139" s="683" t="n"/>
      <c r="K139" s="683" t="n"/>
      <c r="L139" s="683" t="n"/>
      <c r="M139" s="683" t="inlineStr">
        <is>
          <t>Mục QL gói cước - UC2 tạo mới gói cước STT 1 - Kỹ thuật: Phân tích giá trị biên</t>
        </is>
      </c>
    </row>
    <row r="140" ht="48" customHeight="1" s="668">
      <c r="A140" s="684">
        <f>$C$4&amp;"-"&amp;TEXT(COUNTA($D$12:D140),"00")</f>
        <v/>
      </c>
      <c r="B140" s="687" t="n"/>
      <c r="C140" s="685" t="inlineStr">
        <is>
          <t>Kiểm tra nhập 50 ký tự</t>
        </is>
      </c>
      <c r="D140" s="685" t="inlineStr">
        <is>
          <t>1. Nhập 50 ký tự
2. Check hiển thị</t>
        </is>
      </c>
      <c r="E140" s="685" t="inlineStr">
        <is>
          <t>2. Hiển thị đủ 50 ký tự vừa nhập, không báo lỗi</t>
        </is>
      </c>
      <c r="F140" s="683" t="inlineStr">
        <is>
          <t>Chuỗi 50 ký tự</t>
        </is>
      </c>
      <c r="G140" s="686" t="inlineStr">
        <is>
          <t>24/09/2026</t>
        </is>
      </c>
      <c r="H140" s="683" t="n"/>
      <c r="I140" s="683" t="n"/>
      <c r="J140" s="683" t="n"/>
      <c r="K140" s="683" t="n"/>
      <c r="L140" s="683" t="n"/>
      <c r="M140" s="683" t="inlineStr">
        <is>
          <t>Mục QL gói cước - UC2 tạo mới gói cước STT 1 - Kỹ thuật: Phân tích giá trị biên</t>
        </is>
      </c>
    </row>
    <row r="141" ht="48" customHeight="1" s="668">
      <c r="A141" s="684">
        <f>$C$4&amp;"-"&amp;TEXT(COUNTA($D$12:D141),"00")</f>
        <v/>
      </c>
      <c r="B141" s="687" t="n"/>
      <c r="C141" s="685" t="inlineStr">
        <is>
          <t>Kiểm tra nhập 51 ký tự</t>
        </is>
      </c>
      <c r="D141" s="685" t="inlineStr">
        <is>
          <t>1. Nhập 51 ký tự
2. Check hiển thị</t>
        </is>
      </c>
      <c r="E141" s="685" t="inlineStr">
        <is>
          <t>2. Chặn nhập ký tự thứ 51, chỉ cho phép 50 ký tự</t>
        </is>
      </c>
      <c r="F141" s="683" t="inlineStr">
        <is>
          <t>Chuỗi 51 ký tự</t>
        </is>
      </c>
      <c r="G141" s="686" t="inlineStr">
        <is>
          <t>24/09/2026</t>
        </is>
      </c>
      <c r="H141" s="683" t="n"/>
      <c r="I141" s="683" t="n"/>
      <c r="J141" s="683" t="n"/>
      <c r="K141" s="683" t="n"/>
      <c r="L141" s="683" t="n"/>
      <c r="M141" s="683" t="inlineStr">
        <is>
          <t>Mục QL gói cước - UC2 tạo mới gói cước STT 1 - Kỹ thuật: Phân tích giá trị biên</t>
        </is>
      </c>
    </row>
    <row r="142" ht="48" customHeight="1" s="668">
      <c r="A142" s="684">
        <f>$C$4&amp;"-"&amp;TEXT(COUNTA($D$12:D142),"00")</f>
        <v/>
      </c>
      <c r="B142" s="687" t="n"/>
      <c r="C142" s="685" t="inlineStr">
        <is>
          <t>Kiểm tra paste chuỗi vượt 50 ký tự</t>
        </is>
      </c>
      <c r="D142" s="685" t="inlineStr">
        <is>
          <t>ĐK: Đã copy chuỗi 60 ký tự
1. Paste vào trường Mã gói cước</t>
        </is>
      </c>
      <c r="E142" s="685" t="inlineStr">
        <is>
          <t>1. Chỉ giữ 50 ký tự đầu</t>
        </is>
      </c>
      <c r="F142" s="683" t="inlineStr">
        <is>
          <t>Chuỗi 60 ký tự</t>
        </is>
      </c>
      <c r="G142" s="686" t="inlineStr">
        <is>
          <t>24/09/2026</t>
        </is>
      </c>
      <c r="H142" s="683" t="n"/>
      <c r="I142" s="683" t="n"/>
      <c r="J142" s="683" t="n"/>
      <c r="K142" s="683" t="n"/>
      <c r="L142" s="683" t="n"/>
      <c r="M142" s="683" t="inlineStr">
        <is>
          <t>Mục QL gói cước - UC2 tạo mới gói cước STT 1 - Kỹ thuật: Phân tích giá trị biên</t>
        </is>
      </c>
    </row>
    <row r="143" ht="64" customHeight="1" s="668">
      <c r="A143" s="684">
        <f>$C$4&amp;"-"&amp;TEXT(COUNTA($D$12:D143),"00")</f>
        <v/>
      </c>
      <c r="B143" s="687" t="n"/>
      <c r="C143" s="685" t="inlineStr">
        <is>
          <t>Kiểm tra nhập mã trùng với gói cước đang tồn tại</t>
        </is>
      </c>
      <c r="D143" s="685" t="inlineStr">
        <is>
          <t>ĐK: Đã có gói mã "OAPLUS30" trạng thái Nháp
1. Nhập "OAPLUS30"
2. Nhập đủ trường khác
3. Click Lưu</t>
        </is>
      </c>
      <c r="E143" s="685" t="inlineStr">
        <is>
          <t>3. Hiển thị lỗi inline: "Mã gói đã được sử dụng", không lưu gói cước</t>
        </is>
      </c>
      <c r="F143" s="683" t="inlineStr">
        <is>
          <t>OAPLUS30</t>
        </is>
      </c>
      <c r="G143" s="686" t="inlineStr">
        <is>
          <t>24/09/2026</t>
        </is>
      </c>
      <c r="H143" s="683" t="n"/>
      <c r="I143" s="683" t="n"/>
      <c r="J143" s="683" t="n"/>
      <c r="K143" s="683" t="n"/>
      <c r="L143" s="683" t="n"/>
      <c r="M143" s="683" t="inlineStr">
        <is>
          <t>Mục QL gói cước - UC2 tạo mới gói cước STT 1, BR04 - Kỹ thuật: Phân vùng tương đương</t>
        </is>
      </c>
    </row>
    <row r="144" ht="48" customHeight="1" s="668">
      <c r="A144" s="684">
        <f>$C$4&amp;"-"&amp;TEXT(COUNTA($D$12:D144),"00")</f>
        <v/>
      </c>
      <c r="B144" s="687" t="n"/>
      <c r="C144" s="685" t="inlineStr">
        <is>
          <t>Kiểm tra trùng mã với gói ở trạng thái Đang kinh doanh / Ngừng kinh doanh / Đã phát hành</t>
        </is>
      </c>
      <c r="D144" s="685" t="inlineStr">
        <is>
          <t>ĐK: Có gói mã A (Đang kinh doanh), B (Ngừng kinh doanh), C (Đã phát hành)
1. Lần lượt nhập mã A, B, C
2. Click Lưu</t>
        </is>
      </c>
      <c r="E144" s="685" t="inlineStr">
        <is>
          <t>2. Cả 3 trường hợp đều hiển thị lỗi inline: "Mã gói đã được sử dụng"</t>
        </is>
      </c>
      <c r="F144" s="683" t="n"/>
      <c r="G144" s="686" t="inlineStr">
        <is>
          <t>24/09/2026</t>
        </is>
      </c>
      <c r="H144" s="683" t="n"/>
      <c r="I144" s="683" t="n"/>
      <c r="J144" s="683" t="n"/>
      <c r="K144" s="683" t="n"/>
      <c r="L144" s="683" t="n"/>
      <c r="M144" s="683" t="inlineStr">
        <is>
          <t>Mục QL gói cước - UC2 tạo mới gói cước BR04 - Kỹ thuật: Phân vùng tương đương</t>
        </is>
      </c>
    </row>
    <row r="145" ht="64" customHeight="1" s="668">
      <c r="A145" s="684">
        <f>$C$4&amp;"-"&amp;TEXT(COUNTA($D$12:D145),"00")</f>
        <v/>
      </c>
      <c r="B145" s="687" t="n"/>
      <c r="C145" s="685" t="inlineStr">
        <is>
          <t>Kiểm tra mã trùng với gói cước trạng thái Đã xoá</t>
        </is>
      </c>
      <c r="D145" s="685" t="inlineStr">
        <is>
          <t>ĐK: Gói mã "OAPLUS60" đã bị xoá
1. Nhập "OAPLUS60"
2. Nhập đủ trường khác
3. Click Lưu</t>
        </is>
      </c>
      <c r="E145" s="685" t="inlineStr">
        <is>
          <t>3. Cho phép lưu, tạo gói cước thành công</t>
        </is>
      </c>
      <c r="F145" s="683" t="inlineStr">
        <is>
          <t>OAPLUS60</t>
        </is>
      </c>
      <c r="G145" s="686" t="inlineStr">
        <is>
          <t>24/09/2026</t>
        </is>
      </c>
      <c r="H145" s="683" t="n"/>
      <c r="I145" s="683" t="n"/>
      <c r="J145" s="683" t="n"/>
      <c r="K145" s="683" t="n"/>
      <c r="L145" s="683" t="n"/>
      <c r="M145" s="683" t="inlineStr">
        <is>
          <t>Mục QL gói cước - UC2 tạo mới gói cước BR04 - Kỹ thuật: Phân vùng tương đương</t>
        </is>
      </c>
    </row>
    <row r="146" ht="48" customHeight="1" s="668">
      <c r="A146" s="684">
        <f>$C$4&amp;"-"&amp;TEXT(COUNTA($D$12:D146),"00")</f>
        <v/>
      </c>
      <c r="B146" s="687" t="n"/>
      <c r="C146" s="685" t="inlineStr">
        <is>
          <t>Kiểm tra mã trùng với gói thuộc loại gói khác</t>
        </is>
      </c>
      <c r="D146" s="685" t="inlineStr">
        <is>
          <t>ĐK: Mã "OAPLUS30" đã tồn tại ở loại gói A
1. Tạo gói trong loại gói B với mã "OAPLUS30"
2. Click Lưu</t>
        </is>
      </c>
      <c r="E146" s="685" t="inlineStr">
        <is>
          <t>2. Hiển thị lỗi inline: "Mã gói đã được sử dụng" (mã duy nhất toàn hệ thống)</t>
        </is>
      </c>
      <c r="F146" s="683" t="n"/>
      <c r="G146" s="686" t="inlineStr">
        <is>
          <t>24/09/2026</t>
        </is>
      </c>
      <c r="H146" s="683" t="n"/>
      <c r="I146" s="683" t="n"/>
      <c r="J146" s="683" t="n"/>
      <c r="K146" s="683" t="n"/>
      <c r="L146" s="683" t="n"/>
      <c r="M146" s="683" t="inlineStr">
        <is>
          <t>Mục QL gói cước - UC2 tạo mới gói cước BR04</t>
        </is>
      </c>
    </row>
    <row r="147" ht="48" customHeight="1" s="668">
      <c r="A147" s="684">
        <f>$C$4&amp;"-"&amp;TEXT(COUNTA($D$12:D147),"00")</f>
        <v/>
      </c>
      <c r="B147" s="687" t="n"/>
      <c r="C147" s="685" t="inlineStr">
        <is>
          <t>Kiểm tra mã trùng khi khác chữ hoa/thường</t>
        </is>
      </c>
      <c r="D147" s="685" t="inlineStr">
        <is>
          <t>ĐK: Mã "OAPLUS30" đã tồn tại
1. Nhập "oaplus30"
2. Click Lưu</t>
        </is>
      </c>
      <c r="E147" s="685" t="inlineStr">
        <is>
          <t>2. Mã tự chuyển thành "OAPLUS30" và báo lỗi "Mã gói đã được sử dụng"</t>
        </is>
      </c>
      <c r="F147" s="683" t="inlineStr">
        <is>
          <t>oaplus30</t>
        </is>
      </c>
      <c r="G147" s="686" t="inlineStr">
        <is>
          <t>24/09/2026</t>
        </is>
      </c>
      <c r="H147" s="683" t="n"/>
      <c r="I147" s="683" t="n"/>
      <c r="J147" s="683" t="n"/>
      <c r="K147" s="683" t="n"/>
      <c r="L147" s="683" t="n"/>
      <c r="M147" s="683" t="inlineStr">
        <is>
          <t>Mục QL gói cước - UC2 tạo mới gói cước STT 1, BR04</t>
        </is>
      </c>
    </row>
    <row r="148" ht="32" customHeight="1" s="668">
      <c r="A148" s="684">
        <f>$C$4&amp;"-"&amp;TEXT(COUNTA($D$12:D148),"00")</f>
        <v/>
      </c>
      <c r="B148" s="678" t="n"/>
      <c r="C148" s="685" t="inlineStr">
        <is>
          <t>Kiểm tra copy/paste dữ liệu</t>
        </is>
      </c>
      <c r="D148" s="685" t="inlineStr">
        <is>
          <t>1. Copy chuỗi hợp lệ từ vùng khác
2. Paste vào Mã gói cước</t>
        </is>
      </c>
      <c r="E148" s="685" t="inlineStr">
        <is>
          <t>2. Paste dữ liệu thành công, áp dụng rule viết hoa/không dấu</t>
        </is>
      </c>
      <c r="F148" s="683" t="n"/>
      <c r="G148" s="686" t="inlineStr">
        <is>
          <t>24/09/2026</t>
        </is>
      </c>
      <c r="H148" s="683" t="n"/>
      <c r="I148" s="683" t="n"/>
      <c r="J148" s="683" t="n"/>
      <c r="K148" s="683" t="n"/>
      <c r="L148" s="683" t="n"/>
      <c r="M148" s="683" t="n"/>
    </row>
    <row r="149" ht="32" customHeight="1" s="668">
      <c r="A149" s="684">
        <f>$C$4&amp;"-"&amp;TEXT(COUNTA($D$12:D149),"00")</f>
        <v/>
      </c>
      <c r="B149" s="685" t="inlineStr">
        <is>
          <t>Kiểm tra trường Mô tả gói cước</t>
        </is>
      </c>
      <c r="C149" s="685" t="inlineStr">
        <is>
          <t>Kiểm tra hiển thị mặc định</t>
        </is>
      </c>
      <c r="D149" s="685" t="inlineStr">
        <is>
          <t>1. Kiểm tra hiển thị</t>
        </is>
      </c>
      <c r="E149" s="685" t="inlineStr">
        <is>
          <t>1. Hiển thị trường Mô tả dạng textarea, mặc định trống</t>
        </is>
      </c>
      <c r="F149" s="683" t="n"/>
      <c r="G149" s="686" t="inlineStr">
        <is>
          <t>24/09/2026</t>
        </is>
      </c>
      <c r="H149" s="683" t="n"/>
      <c r="I149" s="683" t="n"/>
      <c r="J149" s="683" t="n"/>
      <c r="K149" s="683" t="n"/>
      <c r="L149" s="683" t="n"/>
      <c r="M149" s="683" t="inlineStr">
        <is>
          <t>Mục QL gói cước - UC2 tạo mới gói cước STT 2</t>
        </is>
      </c>
    </row>
    <row r="150" ht="64" customHeight="1" s="668">
      <c r="A150" s="684">
        <f>$C$4&amp;"-"&amp;TEXT(COUNTA($D$12:D150),"00")</f>
        <v/>
      </c>
      <c r="B150" s="687" t="n"/>
      <c r="C150" s="685" t="inlineStr">
        <is>
          <t>Kiểm tra để trống Mô tả</t>
        </is>
      </c>
      <c r="D150" s="685" t="inlineStr">
        <is>
          <t>1. Để trống Mô tả
2. Nhập đủ các trường bắt buộc khác
3. Click Lưu</t>
        </is>
      </c>
      <c r="E150" s="685" t="inlineStr">
        <is>
          <t>3. Cho phép lưu thành công (trường không bắt buộc)</t>
        </is>
      </c>
      <c r="F150" s="683" t="n"/>
      <c r="G150" s="686" t="inlineStr">
        <is>
          <t>24/09/2026</t>
        </is>
      </c>
      <c r="H150" s="683" t="n"/>
      <c r="I150" s="683" t="n"/>
      <c r="J150" s="683" t="n"/>
      <c r="K150" s="683" t="n"/>
      <c r="L150" s="683" t="n"/>
      <c r="M150" s="683" t="inlineStr">
        <is>
          <t>Mục QL gói cước - UC2 tạo mới gói cước STT 2 - Mâu thuẫn SRS (Bắt buộc = Không) và design (có *) - Cần BA confirm</t>
        </is>
      </c>
    </row>
    <row r="151" ht="48" customHeight="1" s="668">
      <c r="A151" s="684">
        <f>$C$4&amp;"-"&amp;TEXT(COUNTA($D$12:D151),"00")</f>
        <v/>
      </c>
      <c r="B151" s="687" t="n"/>
      <c r="C151" s="685" t="inlineStr">
        <is>
          <t>Kiểm tra nhập 499 ký tự</t>
        </is>
      </c>
      <c r="D151" s="685" t="inlineStr">
        <is>
          <t>1. Nhập 499 ký tự</t>
        </is>
      </c>
      <c r="E151" s="685" t="inlineStr">
        <is>
          <t>1. Hiển thị đủ dữ liệu vừa nhập</t>
        </is>
      </c>
      <c r="F151" s="683" t="inlineStr">
        <is>
          <t>Chuỗi 499 ký tự</t>
        </is>
      </c>
      <c r="G151" s="686" t="inlineStr">
        <is>
          <t>24/09/2026</t>
        </is>
      </c>
      <c r="H151" s="683" t="n"/>
      <c r="I151" s="683" t="n"/>
      <c r="J151" s="683" t="n"/>
      <c r="K151" s="683" t="n"/>
      <c r="L151" s="683" t="n"/>
      <c r="M151" s="683" t="inlineStr">
        <is>
          <t>Mục QL gói cước - UC2 tạo mới gói cước STT 2 - Kỹ thuật: Phân tích giá trị biên</t>
        </is>
      </c>
    </row>
    <row r="152" ht="48" customHeight="1" s="668">
      <c r="A152" s="684">
        <f>$C$4&amp;"-"&amp;TEXT(COUNTA($D$12:D152),"00")</f>
        <v/>
      </c>
      <c r="B152" s="687" t="n"/>
      <c r="C152" s="685" t="inlineStr">
        <is>
          <t>Kiểm tra nhập 500 ký tự</t>
        </is>
      </c>
      <c r="D152" s="685" t="inlineStr">
        <is>
          <t>1. Nhập 500 ký tự</t>
        </is>
      </c>
      <c r="E152" s="685" t="inlineStr">
        <is>
          <t>1. Hiển thị đủ dữ liệu vừa nhập</t>
        </is>
      </c>
      <c r="F152" s="683" t="inlineStr">
        <is>
          <t>Chuỗi 500 ký tự</t>
        </is>
      </c>
      <c r="G152" s="686" t="inlineStr">
        <is>
          <t>24/09/2026</t>
        </is>
      </c>
      <c r="H152" s="683" t="n"/>
      <c r="I152" s="683" t="n"/>
      <c r="J152" s="683" t="n"/>
      <c r="K152" s="683" t="n"/>
      <c r="L152" s="683" t="n"/>
      <c r="M152" s="683" t="inlineStr">
        <is>
          <t>Mục QL gói cước - UC2 tạo mới gói cước STT 2 - Kỹ thuật: Phân tích giá trị biên</t>
        </is>
      </c>
    </row>
    <row r="153" ht="48" customHeight="1" s="668">
      <c r="A153" s="684">
        <f>$C$4&amp;"-"&amp;TEXT(COUNTA($D$12:D153),"00")</f>
        <v/>
      </c>
      <c r="B153" s="687" t="n"/>
      <c r="C153" s="685" t="inlineStr">
        <is>
          <t>Kiểm tra nhập 501 ký tự</t>
        </is>
      </c>
      <c r="D153" s="685" t="inlineStr">
        <is>
          <t>1. Nhập 501 ký tự</t>
        </is>
      </c>
      <c r="E153" s="685" t="inlineStr">
        <is>
          <t>1. Chặn nhập ký tự thứ 501, chỉ cho phép 500 ký tự</t>
        </is>
      </c>
      <c r="F153" s="683" t="inlineStr">
        <is>
          <t>Chuỗi 501 ký tự</t>
        </is>
      </c>
      <c r="G153" s="686" t="inlineStr">
        <is>
          <t>24/09/2026</t>
        </is>
      </c>
      <c r="H153" s="683" t="n"/>
      <c r="I153" s="683" t="n"/>
      <c r="J153" s="683" t="n"/>
      <c r="K153" s="683" t="n"/>
      <c r="L153" s="683" t="n"/>
      <c r="M153" s="683" t="inlineStr">
        <is>
          <t>Mục QL gói cước - UC2 tạo mới gói cước STT 2 - Kỹ thuật: Phân tích giá trị biên</t>
        </is>
      </c>
    </row>
    <row r="154" ht="32" customHeight="1" s="668">
      <c r="A154" s="684">
        <f>$C$4&amp;"-"&amp;TEXT(COUNTA($D$12:D154),"00")</f>
        <v/>
      </c>
      <c r="B154" s="687" t="n"/>
      <c r="C154" s="685" t="inlineStr">
        <is>
          <t>Kiểm tra nhập tất cả loại ký tự</t>
        </is>
      </c>
      <c r="D154" s="685" t="inlineStr">
        <is>
          <t>1. Nhập chuỗi gồm chữ, số, ký tự đặc biệt, tiếng Việt có dấu, emoji
2. Click Lưu</t>
        </is>
      </c>
      <c r="E154" s="685" t="inlineStr">
        <is>
          <t>2. Cho phép nhập và lưu đúng dữ liệu</t>
        </is>
      </c>
      <c r="F154" s="683" t="inlineStr">
        <is>
          <t>Gói OA 30 ngày - ưu đãi 50% @#$ 😀</t>
        </is>
      </c>
      <c r="G154" s="686" t="inlineStr">
        <is>
          <t>24/09/2026</t>
        </is>
      </c>
      <c r="H154" s="683" t="n"/>
      <c r="I154" s="683" t="n"/>
      <c r="J154" s="683" t="n"/>
      <c r="K154" s="683" t="n"/>
      <c r="L154" s="683" t="n"/>
      <c r="M154" s="683" t="inlineStr">
        <is>
          <t>Mục QL gói cước - UC2 tạo mới gói cước STT 2</t>
        </is>
      </c>
    </row>
    <row r="155" ht="32" customHeight="1" s="668">
      <c r="A155" s="684">
        <f>$C$4&amp;"-"&amp;TEXT(COUNTA($D$12:D155),"00")</f>
        <v/>
      </c>
      <c r="B155" s="687" t="n"/>
      <c r="C155" s="685" t="inlineStr">
        <is>
          <t>Kiểm tra định dạng html gạch đầu dòng</t>
        </is>
      </c>
      <c r="D155" s="685" t="inlineStr">
        <is>
          <t>1. Nhập mô tả có gạch đầu dòng (định dạng html)
2. Lưu và xem chi tiết</t>
        </is>
      </c>
      <c r="E155" s="685" t="inlineStr">
        <is>
          <t>2. Mô tả hiển thị đúng định dạng gạch đầu dòng</t>
        </is>
      </c>
      <c r="F155" s="683" t="inlineStr">
        <is>
          <t>&lt;ul&gt;&lt;li&gt;Quyền lợi 1&lt;/li&gt;&lt;/ul&gt;</t>
        </is>
      </c>
      <c r="G155" s="686" t="inlineStr">
        <is>
          <t>24/09/2026</t>
        </is>
      </c>
      <c r="H155" s="683" t="n"/>
      <c r="I155" s="683" t="n"/>
      <c r="J155" s="683" t="n"/>
      <c r="K155" s="683" t="n"/>
      <c r="L155" s="683" t="n"/>
      <c r="M155" s="683" t="inlineStr">
        <is>
          <t>Mục QL gói cước - UC2 tạo mới gói cước STT 2</t>
        </is>
      </c>
    </row>
    <row r="156" ht="32" customHeight="1" s="668">
      <c r="A156" s="684">
        <f>$C$4&amp;"-"&amp;TEXT(COUNTA($D$12:D156),"00")</f>
        <v/>
      </c>
      <c r="B156" s="678" t="n"/>
      <c r="C156" s="685" t="inlineStr">
        <is>
          <t>Kiểm tra nhập mã script</t>
        </is>
      </c>
      <c r="D156" s="685" t="inlineStr">
        <is>
          <t>1. Nhập "&lt;script&gt;alert(1)&lt;/script&gt;"
2. Lưu và xem chi tiết</t>
        </is>
      </c>
      <c r="E156" s="685" t="inlineStr">
        <is>
          <t>2. Không thực thi script, hiển thị dạng text</t>
        </is>
      </c>
      <c r="F156" s="683" t="inlineStr">
        <is>
          <t>&lt;script&gt;alert(1)&lt;/script&gt;</t>
        </is>
      </c>
      <c r="G156" s="686" t="inlineStr">
        <is>
          <t>24/09/2026</t>
        </is>
      </c>
      <c r="H156" s="683" t="n"/>
      <c r="I156" s="683" t="n"/>
      <c r="J156" s="683" t="n"/>
      <c r="K156" s="683" t="n"/>
      <c r="L156" s="683" t="n"/>
      <c r="M156" s="683" t="inlineStr">
        <is>
          <t>Mục QL gói cước - UC2 tạo mới gói cước STT 2 - bảo mật XSS</t>
        </is>
      </c>
    </row>
    <row r="157" ht="32" customHeight="1" s="668">
      <c r="A157" s="684">
        <f>$C$4&amp;"-"&amp;TEXT(COUNTA($D$12:D157),"00")</f>
        <v/>
      </c>
      <c r="B157" s="685" t="inlineStr">
        <is>
          <t>Kiểm tra trường Chu kỳ</t>
        </is>
      </c>
      <c r="C157" s="685" t="inlineStr">
        <is>
          <t>Kiểm tra để trống</t>
        </is>
      </c>
      <c r="D157" s="685" t="inlineStr">
        <is>
          <t>1. Để trống Chu kỳ
2. Click Lưu</t>
        </is>
      </c>
      <c r="E157" s="685" t="inlineStr">
        <is>
          <t>2. Hiển thị lỗi inline: "Vui lòng nhập thông tin"</t>
        </is>
      </c>
      <c r="F157" s="683" t="n"/>
      <c r="G157" s="686" t="inlineStr">
        <is>
          <t>24/09/2026</t>
        </is>
      </c>
      <c r="H157" s="683" t="n"/>
      <c r="I157" s="683" t="n"/>
      <c r="J157" s="683" t="n"/>
      <c r="K157" s="683" t="n"/>
      <c r="L157" s="683" t="n"/>
      <c r="M157" s="683" t="inlineStr">
        <is>
          <t>Mục QL gói cước - UC2 tạo mới gói cước STT 3</t>
        </is>
      </c>
    </row>
    <row r="158" ht="80" customHeight="1" s="668">
      <c r="A158" s="684">
        <f>$C$4&amp;"-"&amp;TEXT(COUNTA($D$12:D158),"00")</f>
        <v/>
      </c>
      <c r="B158" s="687" t="n"/>
      <c r="C158" s="685" t="inlineStr">
        <is>
          <t>Kiểm tra nhập 0</t>
        </is>
      </c>
      <c r="D158" s="685" t="inlineStr">
        <is>
          <t>1. Nhập 0
2. Click Lưu</t>
        </is>
      </c>
      <c r="E158" s="685" t="inlineStr">
        <is>
          <t>2. Không cho phép lưu, chu kỳ phải là số nguyên dương &gt; 0</t>
        </is>
      </c>
      <c r="F158" s="683" t="inlineStr">
        <is>
          <t>0</t>
        </is>
      </c>
      <c r="G158" s="686" t="inlineStr">
        <is>
          <t>24/09/2026</t>
        </is>
      </c>
      <c r="H158" s="683" t="n"/>
      <c r="I158" s="683" t="n"/>
      <c r="J158" s="683" t="n"/>
      <c r="K158" s="683" t="n"/>
      <c r="L158" s="683" t="n"/>
      <c r="M158" s="683" t="inlineStr">
        <is>
          <t>Mục QL gói cước - UC2 tạo mới gói cước STT 3 - Kỹ thuật: Phân tích giá trị biên. SRS chưa nêu message lỗi, Cần BA confirm</t>
        </is>
      </c>
    </row>
    <row r="159" ht="48" customHeight="1" s="668">
      <c r="A159" s="684">
        <f>$C$4&amp;"-"&amp;TEXT(COUNTA($D$12:D159),"00")</f>
        <v/>
      </c>
      <c r="B159" s="687" t="n"/>
      <c r="C159" s="685" t="inlineStr">
        <is>
          <t>Kiểm tra nhập 1</t>
        </is>
      </c>
      <c r="D159" s="685" t="inlineStr">
        <is>
          <t>1. Nhập 1
2. Nhập đủ trường khác
3. Click Lưu</t>
        </is>
      </c>
      <c r="E159" s="685" t="inlineStr">
        <is>
          <t>3. Cho phép lưu thành công</t>
        </is>
      </c>
      <c r="F159" s="683" t="inlineStr">
        <is>
          <t>1</t>
        </is>
      </c>
      <c r="G159" s="686" t="inlineStr">
        <is>
          <t>24/09/2026</t>
        </is>
      </c>
      <c r="H159" s="683" t="n"/>
      <c r="I159" s="683" t="n"/>
      <c r="J159" s="683" t="n"/>
      <c r="K159" s="683" t="n"/>
      <c r="L159" s="683" t="n"/>
      <c r="M159" s="683" t="inlineStr">
        <is>
          <t>Mục QL gói cước - UC2 tạo mới gói cước STT 3 - Kỹ thuật: Phân tích giá trị biên</t>
        </is>
      </c>
    </row>
    <row r="160" ht="48" customHeight="1" s="668">
      <c r="A160" s="684">
        <f>$C$4&amp;"-"&amp;TEXT(COUNTA($D$12:D160),"00")</f>
        <v/>
      </c>
      <c r="B160" s="687" t="n"/>
      <c r="C160" s="685" t="inlineStr">
        <is>
          <t>Kiểm tra nhập số âm</t>
        </is>
      </c>
      <c r="D160" s="685" t="inlineStr">
        <is>
          <t>1. Nhập -1</t>
        </is>
      </c>
      <c r="E160" s="685" t="inlineStr">
        <is>
          <t>1. Chặn không cho nhập dấu "-"</t>
        </is>
      </c>
      <c r="F160" s="683" t="inlineStr">
        <is>
          <t>-1</t>
        </is>
      </c>
      <c r="G160" s="686" t="inlineStr">
        <is>
          <t>24/09/2026</t>
        </is>
      </c>
      <c r="H160" s="683" t="n"/>
      <c r="I160" s="683" t="n"/>
      <c r="J160" s="683" t="n"/>
      <c r="K160" s="683" t="n"/>
      <c r="L160" s="683" t="n"/>
      <c r="M160" s="683" t="inlineStr">
        <is>
          <t>Mục QL gói cước - UC2 tạo mới gói cước STT 3 - Kỹ thuật: Phân vùng tương đương</t>
        </is>
      </c>
    </row>
    <row r="161" ht="48" customHeight="1" s="668">
      <c r="A161" s="684">
        <f>$C$4&amp;"-"&amp;TEXT(COUNTA($D$12:D161),"00")</f>
        <v/>
      </c>
      <c r="B161" s="687" t="n"/>
      <c r="C161" s="685" t="inlineStr">
        <is>
          <t>Kiểm tra nhập số thập phân</t>
        </is>
      </c>
      <c r="D161" s="685" t="inlineStr">
        <is>
          <t>1. Nhập 1.5</t>
        </is>
      </c>
      <c r="E161" s="685" t="inlineStr">
        <is>
          <t>1. Chặn không cho nhập (chỉ cho số nguyên)</t>
        </is>
      </c>
      <c r="F161" s="683" t="inlineStr">
        <is>
          <t>1.5</t>
        </is>
      </c>
      <c r="G161" s="686" t="inlineStr">
        <is>
          <t>24/09/2026</t>
        </is>
      </c>
      <c r="H161" s="683" t="n"/>
      <c r="I161" s="683" t="n"/>
      <c r="J161" s="683" t="n"/>
      <c r="K161" s="683" t="n"/>
      <c r="L161" s="683" t="n"/>
      <c r="M161" s="683" t="inlineStr">
        <is>
          <t>Mục QL gói cước - UC2 tạo mới gói cước STT 3 INT - Kỹ thuật: Phân vùng tương đương</t>
        </is>
      </c>
    </row>
    <row r="162" ht="48" customHeight="1" s="668">
      <c r="A162" s="684">
        <f>$C$4&amp;"-"&amp;TEXT(COUNTA($D$12:D162),"00")</f>
        <v/>
      </c>
      <c r="B162" s="687" t="n"/>
      <c r="C162" s="685" t="inlineStr">
        <is>
          <t>Kiểm tra nhập chữ và ký tự đặc biệt</t>
        </is>
      </c>
      <c r="D162" s="685" t="inlineStr">
        <is>
          <t>1. Nhập "abc@#"</t>
        </is>
      </c>
      <c r="E162" s="685" t="inlineStr">
        <is>
          <t>1. Chặn không cho nhập</t>
        </is>
      </c>
      <c r="F162" s="683" t="inlineStr">
        <is>
          <t>abc@#</t>
        </is>
      </c>
      <c r="G162" s="686" t="inlineStr">
        <is>
          <t>24/09/2026</t>
        </is>
      </c>
      <c r="H162" s="683" t="n"/>
      <c r="I162" s="683" t="n"/>
      <c r="J162" s="683" t="n"/>
      <c r="K162" s="683" t="n"/>
      <c r="L162" s="683" t="n"/>
      <c r="M162" s="683" t="inlineStr">
        <is>
          <t>Mục QL gói cước - UC2 tạo mới gói cước STT 3 - Kỹ thuật: Phân vùng tương đương</t>
        </is>
      </c>
    </row>
    <row r="163" ht="80" customHeight="1" s="668">
      <c r="A163" s="684">
        <f>$C$4&amp;"-"&amp;TEXT(COUNTA($D$12:D163),"00")</f>
        <v/>
      </c>
      <c r="B163" s="687" t="n"/>
      <c r="C163" s="685" t="inlineStr">
        <is>
          <t>Kiểm tra nhập giá trị lớn</t>
        </is>
      </c>
      <c r="D163" s="685" t="inlineStr">
        <is>
          <t>1. Nhập 2147483647
2. Nhập 2147483648</t>
        </is>
      </c>
      <c r="E163" s="685" t="inlineStr">
        <is>
          <t>2. Chặn/báo lỗi khi vượt giới hạn INT</t>
        </is>
      </c>
      <c r="F163" s="683" t="inlineStr">
        <is>
          <t>2147483647 / 2147483648</t>
        </is>
      </c>
      <c r="G163" s="686" t="inlineStr">
        <is>
          <t>24/09/2026</t>
        </is>
      </c>
      <c r="H163" s="683" t="n"/>
      <c r="I163" s="683" t="n"/>
      <c r="J163" s="683" t="n"/>
      <c r="K163" s="683" t="n"/>
      <c r="L163" s="683" t="n"/>
      <c r="M163" s="683" t="inlineStr">
        <is>
          <t>Mục QL gói cước - UC2 tạo mới gói cước STT 3 INT - Kỹ thuật: Phân tích giá trị biên. SRS chưa nêu max chu kỳ, Cần BA confirm</t>
        </is>
      </c>
    </row>
    <row r="164" ht="48" customHeight="1" s="668">
      <c r="A164" s="684">
        <f>$C$4&amp;"-"&amp;TEXT(COUNTA($D$12:D164),"00")</f>
        <v/>
      </c>
      <c r="B164" s="687" t="n"/>
      <c r="C164" s="685" t="inlineStr">
        <is>
          <t>Kiểm tra trùng chu kỳ cùng đơn vị với gói khác cùng loại gói</t>
        </is>
      </c>
      <c r="D164" s="685" t="inlineStr">
        <is>
          <t>ĐK: Loại gói A đã có gói 30 Ngày
1. Tạo gói thuộc loại gói A: Chu kỳ 30, Đơn vị Ngày
2. Click Lưu</t>
        </is>
      </c>
      <c r="E164" s="685" t="inlineStr">
        <is>
          <t>2. Hiển thị lỗi: "Đã có gói cùng chu kì thuộc cùng loại gói", không lưu</t>
        </is>
      </c>
      <c r="F164" s="683" t="inlineStr">
        <is>
          <t>30 Ngày</t>
        </is>
      </c>
      <c r="G164" s="686" t="inlineStr">
        <is>
          <t>24/09/2026</t>
        </is>
      </c>
      <c r="H164" s="683" t="n"/>
      <c r="I164" s="683" t="n"/>
      <c r="J164" s="683" t="n"/>
      <c r="K164" s="683" t="n"/>
      <c r="L164" s="683" t="n"/>
      <c r="M164" s="683" t="inlineStr">
        <is>
          <t>Mục QL gói cước - UC2 tạo mới gói cước STT 3, BR06</t>
        </is>
      </c>
    </row>
    <row r="165" ht="48" customHeight="1" s="668">
      <c r="A165" s="684">
        <f>$C$4&amp;"-"&amp;TEXT(COUNTA($D$12:D165),"00")</f>
        <v/>
      </c>
      <c r="B165" s="687" t="n"/>
      <c r="C165" s="685" t="inlineStr">
        <is>
          <t>Kiểm tra trùng chu kỳ sau quy đổi Tháng = Ngày</t>
        </is>
      </c>
      <c r="D165" s="685" t="inlineStr">
        <is>
          <t>ĐK: Loại gói A đã có gói 30 Ngày
1. Tạo gói thuộc loại gói A: Chu kỳ 1, Đơn vị Tháng
2. Click Lưu</t>
        </is>
      </c>
      <c r="E165" s="685" t="inlineStr">
        <is>
          <t>2. Hiển thị lỗi: "Đã có gói cùng chu kì thuộc cùng loại gói" (1 tháng = 30 ngày)</t>
        </is>
      </c>
      <c r="F165" s="683" t="inlineStr">
        <is>
          <t>1 Tháng</t>
        </is>
      </c>
      <c r="G165" s="686" t="inlineStr">
        <is>
          <t>24/09/2026</t>
        </is>
      </c>
      <c r="H165" s="683" t="n"/>
      <c r="I165" s="683" t="n"/>
      <c r="J165" s="683" t="n"/>
      <c r="K165" s="683" t="n"/>
      <c r="L165" s="683" t="n"/>
      <c r="M165" s="683" t="inlineStr">
        <is>
          <t>Mục QL gói cước - UC2 tạo mới gói cước BR05, BR06 - Kỹ thuật: Phân vùng tương đương</t>
        </is>
      </c>
    </row>
    <row r="166" ht="48" customHeight="1" s="668">
      <c r="A166" s="684">
        <f>$C$4&amp;"-"&amp;TEXT(COUNTA($D$12:D166),"00")</f>
        <v/>
      </c>
      <c r="B166" s="687" t="n"/>
      <c r="C166" s="685" t="inlineStr">
        <is>
          <t>Kiểm tra trùng chu kỳ sau quy đổi Tuần = Ngày</t>
        </is>
      </c>
      <c r="D166" s="685" t="inlineStr">
        <is>
          <t>ĐK: Loại gói A đã có gói 14 Ngày
1. Tạo gói thuộc loại gói A: Chu kỳ 2, Đơn vị Tuần
2. Click Lưu</t>
        </is>
      </c>
      <c r="E166" s="685" t="inlineStr">
        <is>
          <t>2. Hiển thị lỗi: "Đã có gói cùng chu kì thuộc cùng loại gói" (2 tuần = 14 ngày)</t>
        </is>
      </c>
      <c r="F166" s="683" t="inlineStr">
        <is>
          <t>2 Tuần</t>
        </is>
      </c>
      <c r="G166" s="686" t="inlineStr">
        <is>
          <t>24/09/2026</t>
        </is>
      </c>
      <c r="H166" s="683" t="n"/>
      <c r="I166" s="683" t="n"/>
      <c r="J166" s="683" t="n"/>
      <c r="K166" s="683" t="n"/>
      <c r="L166" s="683" t="n"/>
      <c r="M166" s="683" t="inlineStr">
        <is>
          <t>Mục QL gói cước - UC2 tạo mới gói cước BR05, BR06 - Kỹ thuật: Phân vùng tương đương</t>
        </is>
      </c>
    </row>
    <row r="167" ht="48" customHeight="1" s="668">
      <c r="A167" s="684">
        <f>$C$4&amp;"-"&amp;TEXT(COUNTA($D$12:D167),"00")</f>
        <v/>
      </c>
      <c r="B167" s="687" t="n"/>
      <c r="C167" s="685" t="inlineStr">
        <is>
          <t>Kiểm tra trùng chu kỳ sau quy đổi Năm = Tháng</t>
        </is>
      </c>
      <c r="D167" s="685" t="inlineStr">
        <is>
          <t>ĐK: Loại gói A đã có gói 12 Tháng
1. Tạo gói thuộc loại gói A: Chu kỳ 1, Đơn vị Năm
2. Click Lưu</t>
        </is>
      </c>
      <c r="E167" s="685" t="inlineStr">
        <is>
          <t>2. Hiển thị lỗi: "Đã có gói cùng chu kì thuộc cùng loại gói" (1 năm = 360 ngày = 12 tháng)</t>
        </is>
      </c>
      <c r="F167" s="683" t="inlineStr">
        <is>
          <t>1 Năm</t>
        </is>
      </c>
      <c r="G167" s="686" t="inlineStr">
        <is>
          <t>24/09/2026</t>
        </is>
      </c>
      <c r="H167" s="683" t="n"/>
      <c r="I167" s="683" t="n"/>
      <c r="J167" s="683" t="n"/>
      <c r="K167" s="683" t="n"/>
      <c r="L167" s="683" t="n"/>
      <c r="M167" s="683" t="inlineStr">
        <is>
          <t>Mục QL gói cước - UC2 tạo mới gói cước BR05, BR06 - Kỹ thuật: Phân vùng tương đương</t>
        </is>
      </c>
    </row>
    <row r="168" ht="48" customHeight="1" s="668">
      <c r="A168" s="684">
        <f>$C$4&amp;"-"&amp;TEXT(COUNTA($D$12:D168),"00")</f>
        <v/>
      </c>
      <c r="B168" s="687" t="n"/>
      <c r="C168" s="685" t="inlineStr">
        <is>
          <t>Kiểm tra chu kỳ lệch 1 ngày so với gói đã có</t>
        </is>
      </c>
      <c r="D168" s="685" t="inlineStr">
        <is>
          <t>ĐK: Loại gói A đã có gói 1 Tháng (30 ngày)
1. Tạo gói 29 Ngày, Lưu
2. Tạo gói 31 Ngày, Lưu</t>
        </is>
      </c>
      <c r="E168" s="685" t="inlineStr">
        <is>
          <t>2. Cả 2 gói đều lưu thành công</t>
        </is>
      </c>
      <c r="F168" s="683" t="inlineStr">
        <is>
          <t>29 Ngày / 31 Ngày</t>
        </is>
      </c>
      <c r="G168" s="686" t="inlineStr">
        <is>
          <t>24/09/2026</t>
        </is>
      </c>
      <c r="H168" s="683" t="n"/>
      <c r="I168" s="683" t="n"/>
      <c r="J168" s="683" t="n"/>
      <c r="K168" s="683" t="n"/>
      <c r="L168" s="683" t="n"/>
      <c r="M168" s="683" t="inlineStr">
        <is>
          <t>Mục QL gói cước - UC2 tạo mới gói cước BR05, BR06 - Kỹ thuật: Phân tích giá trị biên</t>
        </is>
      </c>
    </row>
    <row r="169" ht="48" customHeight="1" s="668">
      <c r="A169" s="684">
        <f>$C$4&amp;"-"&amp;TEXT(COUNTA($D$12:D169),"00")</f>
        <v/>
      </c>
      <c r="B169" s="687" t="n"/>
      <c r="C169" s="685" t="inlineStr">
        <is>
          <t>Kiểm tra trùng chu kỳ với gói ở loại gói khác</t>
        </is>
      </c>
      <c r="D169" s="685" t="inlineStr">
        <is>
          <t>ĐK: Loại gói A đã có gói 30 Ngày
1. Tạo gói thuộc loại gói B: 30 Ngày
2. Click Lưu</t>
        </is>
      </c>
      <c r="E169" s="685" t="inlineStr">
        <is>
          <t>2. Cho phép lưu thành công</t>
        </is>
      </c>
      <c r="F169" s="683" t="n"/>
      <c r="G169" s="686" t="inlineStr">
        <is>
          <t>24/09/2026</t>
        </is>
      </c>
      <c r="H169" s="683" t="n"/>
      <c r="I169" s="683" t="n"/>
      <c r="J169" s="683" t="n"/>
      <c r="K169" s="683" t="n"/>
      <c r="L169" s="683" t="n"/>
      <c r="M169" s="683" t="inlineStr">
        <is>
          <t>Mục QL gói cước - UC2 tạo mới gói cước BR06 - Kỹ thuật: Phân vùng tương đương</t>
        </is>
      </c>
    </row>
    <row r="170" ht="48" customHeight="1" s="668">
      <c r="A170" s="684">
        <f>$C$4&amp;"-"&amp;TEXT(COUNTA($D$12:D170),"00")</f>
        <v/>
      </c>
      <c r="B170" s="687" t="n"/>
      <c r="C170" s="685" t="inlineStr">
        <is>
          <t>Kiểm tra trùng chu kỳ với gói cùng loại gói ở các trạng thái</t>
        </is>
      </c>
      <c r="D170" s="685" t="inlineStr">
        <is>
          <t>ĐK: Loại gói A có gói 30 Ngày lần lượt ở trạng thái Nháp / Đã phát hành / Đang kinh doanh / Ngừng kinh doanh
1. Tạo gói 30 Ngày thuộc loại gói A
2. Click Lưu</t>
        </is>
      </c>
      <c r="E170" s="685" t="inlineStr">
        <is>
          <t>2. Tất cả trường hợp đều báo lỗi "Đã có gói cùng chu kì thuộc cùng loại gói"</t>
        </is>
      </c>
      <c r="F170" s="683" t="n"/>
      <c r="G170" s="686" t="inlineStr">
        <is>
          <t>24/09/2026</t>
        </is>
      </c>
      <c r="H170" s="683" t="n"/>
      <c r="I170" s="683" t="n"/>
      <c r="J170" s="683" t="n"/>
      <c r="K170" s="683" t="n"/>
      <c r="L170" s="683" t="n"/>
      <c r="M170" s="683" t="inlineStr">
        <is>
          <t>Mục QL gói cước - UC2 tạo mới gói cước BR06 - Kỹ thuật: Phân vùng tương đương</t>
        </is>
      </c>
    </row>
    <row r="171" ht="48" customHeight="1" s="668">
      <c r="A171" s="684">
        <f>$C$4&amp;"-"&amp;TEXT(COUNTA($D$12:D171),"00")</f>
        <v/>
      </c>
      <c r="B171" s="678" t="n"/>
      <c r="C171" s="685" t="inlineStr">
        <is>
          <t>Kiểm tra trùng chu kỳ với gói cùng loại gói trạng thái Đã xoá</t>
        </is>
      </c>
      <c r="D171" s="685" t="inlineStr">
        <is>
          <t>ĐK: Loại gói A có gói 30 Ngày đã bị xoá
1. Tạo gói 30 Ngày thuộc loại gói A
2. Click Lưu</t>
        </is>
      </c>
      <c r="E171" s="685" t="inlineStr">
        <is>
          <t>2. Cho phép lưu thành công</t>
        </is>
      </c>
      <c r="F171" s="683" t="n"/>
      <c r="G171" s="686" t="inlineStr">
        <is>
          <t>24/09/2026</t>
        </is>
      </c>
      <c r="H171" s="683" t="n"/>
      <c r="I171" s="683" t="n"/>
      <c r="J171" s="683" t="n"/>
      <c r="K171" s="683" t="n"/>
      <c r="L171" s="683" t="n"/>
      <c r="M171" s="683" t="inlineStr">
        <is>
          <t>Mục QL gói cước - UC2 tạo mới gói cước BR06 - Kỹ thuật: Phân vùng tương đương</t>
        </is>
      </c>
    </row>
    <row r="172" ht="32" customHeight="1" s="668">
      <c r="A172" s="684">
        <f>$C$4&amp;"-"&amp;TEXT(COUNTA($D$12:D172),"00")</f>
        <v/>
      </c>
      <c r="B172" s="685" t="inlineStr">
        <is>
          <t>Kiểm tra trường Đơn vị (chu kỳ)</t>
        </is>
      </c>
      <c r="C172" s="685" t="inlineStr">
        <is>
          <t>Kiểm tra giá trị mặc định</t>
        </is>
      </c>
      <c r="D172" s="685" t="inlineStr">
        <is>
          <t>1. Kiểm tra dropdown Đơn vị</t>
        </is>
      </c>
      <c r="E172" s="685" t="inlineStr">
        <is>
          <t>1. Mặc định chọn "Ngày"</t>
        </is>
      </c>
      <c r="F172" s="683" t="n"/>
      <c r="G172" s="686" t="inlineStr">
        <is>
          <t>24/09/2026</t>
        </is>
      </c>
      <c r="H172" s="683" t="n"/>
      <c r="I172" s="683" t="n"/>
      <c r="J172" s="683" t="n"/>
      <c r="K172" s="683" t="n"/>
      <c r="L172" s="683" t="n"/>
      <c r="M172" s="683" t="inlineStr">
        <is>
          <t>Mục QL gói cước - UC2 tạo mới gói cước STT 4</t>
        </is>
      </c>
    </row>
    <row r="173" ht="32" customHeight="1" s="668">
      <c r="A173" s="684">
        <f>$C$4&amp;"-"&amp;TEXT(COUNTA($D$12:D173),"00")</f>
        <v/>
      </c>
      <c r="B173" s="687" t="n"/>
      <c r="C173" s="685" t="inlineStr">
        <is>
          <t>Kiểm tra danh sách giá trị</t>
        </is>
      </c>
      <c r="D173" s="685" t="inlineStr">
        <is>
          <t>1. Click dropdown Đơn vị</t>
        </is>
      </c>
      <c r="E173" s="685" t="inlineStr">
        <is>
          <t>1. Hiển thị 4 giá trị: Ngày, Tuần, Tháng, Năm</t>
        </is>
      </c>
      <c r="F173" s="683" t="n"/>
      <c r="G173" s="686" t="inlineStr">
        <is>
          <t>24/09/2026</t>
        </is>
      </c>
      <c r="H173" s="683" t="n"/>
      <c r="I173" s="683" t="n"/>
      <c r="J173" s="683" t="n"/>
      <c r="K173" s="683" t="n"/>
      <c r="L173" s="683" t="n"/>
      <c r="M173" s="683" t="inlineStr">
        <is>
          <t>Mục QL gói cước - UC2 tạo mới gói cước STT 4</t>
        </is>
      </c>
    </row>
    <row r="174" ht="48" customHeight="1" s="668">
      <c r="A174" s="684">
        <f>$C$4&amp;"-"&amp;TEXT(COUNTA($D$12:D174),"00")</f>
        <v/>
      </c>
      <c r="B174" s="678" t="n"/>
      <c r="C174" s="685" t="inlineStr">
        <is>
          <t>Kiểm tra chọn giá trị</t>
        </is>
      </c>
      <c r="D174" s="685" t="inlineStr">
        <is>
          <t>1. Chọn "Tháng"</t>
        </is>
      </c>
      <c r="E174" s="685" t="inlineStr">
        <is>
          <t>1. Hiển thị "Tháng", đóng dropdown; chỉ chọn được 1 giá trị</t>
        </is>
      </c>
      <c r="F174" s="683" t="n"/>
      <c r="G174" s="686" t="inlineStr">
        <is>
          <t>24/09/2026</t>
        </is>
      </c>
      <c r="H174" s="683" t="n"/>
      <c r="I174" s="683" t="n"/>
      <c r="J174" s="683" t="n"/>
      <c r="K174" s="683" t="n"/>
      <c r="L174" s="683" t="n"/>
      <c r="M174" s="683" t="inlineStr">
        <is>
          <t>Mục QL gói cước - UC2 tạo mới gói cước STT 4 - Kỹ thuật: Phân vùng tương đương</t>
        </is>
      </c>
    </row>
    <row r="175" ht="32" customHeight="1" s="668">
      <c r="A175" s="684">
        <f>$C$4&amp;"-"&amp;TEXT(COUNTA($D$12:D175),"00")</f>
        <v/>
      </c>
      <c r="B175" s="685" t="inlineStr">
        <is>
          <t>Kiểm tra trường Giá gốc</t>
        </is>
      </c>
      <c r="C175" s="685" t="inlineStr">
        <is>
          <t>Kiểm tra để trống</t>
        </is>
      </c>
      <c r="D175" s="685" t="inlineStr">
        <is>
          <t>1. Để trống Giá gốc
2. Click Lưu</t>
        </is>
      </c>
      <c r="E175" s="685" t="inlineStr">
        <is>
          <t>2. Hiển thị lỗi inline: "Vui lòng nhập thông tin"</t>
        </is>
      </c>
      <c r="F175" s="683" t="n"/>
      <c r="G175" s="686" t="inlineStr">
        <is>
          <t>24/09/2026</t>
        </is>
      </c>
      <c r="H175" s="683" t="n"/>
      <c r="I175" s="683" t="n"/>
      <c r="J175" s="683" t="n"/>
      <c r="K175" s="683" t="n"/>
      <c r="L175" s="683" t="n"/>
      <c r="M175" s="683" t="inlineStr">
        <is>
          <t>Mục QL gói cước - UC2 tạo mới gói cước STT 5</t>
        </is>
      </c>
    </row>
    <row r="176" ht="32" customHeight="1" s="668">
      <c r="A176" s="684">
        <f>$C$4&amp;"-"&amp;TEXT(COUNTA($D$12:D176),"00")</f>
        <v/>
      </c>
      <c r="B176" s="687" t="n"/>
      <c r="C176" s="685" t="inlineStr">
        <is>
          <t>Kiểm tra tự động format dấu phân cách hàng nghìn</t>
        </is>
      </c>
      <c r="D176" s="685" t="inlineStr">
        <is>
          <t>1. Nhập 1119000</t>
        </is>
      </c>
      <c r="E176" s="685" t="inlineStr">
        <is>
          <t>1. Hiển thị "1.119.000"</t>
        </is>
      </c>
      <c r="F176" s="683" t="inlineStr">
        <is>
          <t>1119000</t>
        </is>
      </c>
      <c r="G176" s="686" t="inlineStr">
        <is>
          <t>24/09/2026</t>
        </is>
      </c>
      <c r="H176" s="683" t="n"/>
      <c r="I176" s="683" t="n"/>
      <c r="J176" s="683" t="n"/>
      <c r="K176" s="683" t="n"/>
      <c r="L176" s="683" t="n"/>
      <c r="M176" s="683" t="inlineStr">
        <is>
          <t>Mục QL gói cước - UC2 tạo mới gói cước STT 5</t>
        </is>
      </c>
    </row>
    <row r="177" ht="96" customHeight="1" s="668">
      <c r="A177" s="684">
        <f>$C$4&amp;"-"&amp;TEXT(COUNTA($D$12:D177),"00")</f>
        <v/>
      </c>
      <c r="B177" s="687" t="n"/>
      <c r="C177" s="685" t="inlineStr">
        <is>
          <t>Kiểm tra nhập 0</t>
        </is>
      </c>
      <c r="D177" s="685" t="inlineStr">
        <is>
          <t>1. Nhập 0
2. Click Lưu</t>
        </is>
      </c>
      <c r="E177" s="685" t="inlineStr">
        <is>
          <t>2. Không cho phép lưu, giá gốc phải &gt; 0</t>
        </is>
      </c>
      <c r="F177" s="683" t="inlineStr">
        <is>
          <t>0</t>
        </is>
      </c>
      <c r="G177" s="686" t="inlineStr">
        <is>
          <t>24/09/2026</t>
        </is>
      </c>
      <c r="H177" s="683" t="n"/>
      <c r="I177" s="683" t="n"/>
      <c r="J177" s="683" t="n"/>
      <c r="K177" s="683" t="n"/>
      <c r="L177" s="683" t="n"/>
      <c r="M177" s="683" t="inlineStr">
        <is>
          <t>Mục QL gói cước - UC2 tạo mới gói cước STT 5 - Kỹ thuật: Phân tích giá trị biên. Dữ liệu cần lưu ghi original_price ≥ 0, mâu thuẫn STT 5 (&gt; 0) - Cần BA confirm</t>
        </is>
      </c>
    </row>
    <row r="178" ht="48" customHeight="1" s="668">
      <c r="A178" s="684">
        <f>$C$4&amp;"-"&amp;TEXT(COUNTA($D$12:D178),"00")</f>
        <v/>
      </c>
      <c r="B178" s="687" t="n"/>
      <c r="C178" s="685" t="inlineStr">
        <is>
          <t>Kiểm tra nhập 1</t>
        </is>
      </c>
      <c r="D178" s="685" t="inlineStr">
        <is>
          <t>1. Nhập 1
2. Nhập đủ trường khác
3. Click Lưu</t>
        </is>
      </c>
      <c r="E178" s="685" t="inlineStr">
        <is>
          <t>3. Cho phép lưu thành công</t>
        </is>
      </c>
      <c r="F178" s="683" t="inlineStr">
        <is>
          <t>1</t>
        </is>
      </c>
      <c r="G178" s="686" t="inlineStr">
        <is>
          <t>24/09/2026</t>
        </is>
      </c>
      <c r="H178" s="683" t="n"/>
      <c r="I178" s="683" t="n"/>
      <c r="J178" s="683" t="n"/>
      <c r="K178" s="683" t="n"/>
      <c r="L178" s="683" t="n"/>
      <c r="M178" s="683" t="inlineStr">
        <is>
          <t>Mục QL gói cước - UC2 tạo mới gói cước STT 5 - Kỹ thuật: Phân tích giá trị biên</t>
        </is>
      </c>
    </row>
    <row r="179" ht="48" customHeight="1" s="668">
      <c r="A179" s="684">
        <f>$C$4&amp;"-"&amp;TEXT(COUNTA($D$12:D179),"00")</f>
        <v/>
      </c>
      <c r="B179" s="687" t="n"/>
      <c r="C179" s="685" t="inlineStr">
        <is>
          <t>Kiểm tra nhập số âm</t>
        </is>
      </c>
      <c r="D179" s="685" t="inlineStr">
        <is>
          <t>1. Nhập -1000</t>
        </is>
      </c>
      <c r="E179" s="685" t="inlineStr">
        <is>
          <t>1. Chặn không cho nhập dấu "-"</t>
        </is>
      </c>
      <c r="F179" s="683" t="inlineStr">
        <is>
          <t>-1000</t>
        </is>
      </c>
      <c r="G179" s="686" t="inlineStr">
        <is>
          <t>24/09/2026</t>
        </is>
      </c>
      <c r="H179" s="683" t="n"/>
      <c r="I179" s="683" t="n"/>
      <c r="J179" s="683" t="n"/>
      <c r="K179" s="683" t="n"/>
      <c r="L179" s="683" t="n"/>
      <c r="M179" s="683" t="inlineStr">
        <is>
          <t>Mục QL gói cước - UC2 tạo mới gói cước STT 5 - Kỹ thuật: Phân vùng tương đương</t>
        </is>
      </c>
    </row>
    <row r="180" ht="64" customHeight="1" s="668">
      <c r="A180" s="684">
        <f>$C$4&amp;"-"&amp;TEXT(COUNTA($D$12:D180),"00")</f>
        <v/>
      </c>
      <c r="B180" s="687" t="n"/>
      <c r="C180" s="685" t="inlineStr">
        <is>
          <t>Kiểm tra nhập số thập phân</t>
        </is>
      </c>
      <c r="D180" s="685" t="inlineStr">
        <is>
          <t>1. Nhập 1000,5</t>
        </is>
      </c>
      <c r="E180" s="685" t="inlineStr">
        <is>
          <t>1. Chặn không cho nhập phần thập phân (số tiền nguyên)</t>
        </is>
      </c>
      <c r="F180" s="683" t="inlineStr">
        <is>
          <t>1000,5</t>
        </is>
      </c>
      <c r="G180" s="686" t="inlineStr">
        <is>
          <t>24/09/2026</t>
        </is>
      </c>
      <c r="H180" s="683" t="n"/>
      <c r="I180" s="683" t="n"/>
      <c r="J180" s="683" t="n"/>
      <c r="K180" s="683" t="n"/>
      <c r="L180" s="683" t="n"/>
      <c r="M180" s="683" t="inlineStr">
        <is>
          <t>Mục QL gói cước - UC2 tạo mới gói cước STT 5 - DECIMAL(15,2) nhưng mô tả "số tiền nguyên dương", Cần BA confirm</t>
        </is>
      </c>
    </row>
    <row r="181" ht="48" customHeight="1" s="668">
      <c r="A181" s="684">
        <f>$C$4&amp;"-"&amp;TEXT(COUNTA($D$12:D181),"00")</f>
        <v/>
      </c>
      <c r="B181" s="687" t="n"/>
      <c r="C181" s="685" t="inlineStr">
        <is>
          <t>Kiểm tra nhập chữ và ký tự đặc biệt</t>
        </is>
      </c>
      <c r="D181" s="685" t="inlineStr">
        <is>
          <t>1. Nhập "abc@"</t>
        </is>
      </c>
      <c r="E181" s="685" t="inlineStr">
        <is>
          <t>1. Chặn không cho nhập</t>
        </is>
      </c>
      <c r="F181" s="683" t="inlineStr">
        <is>
          <t>abc@</t>
        </is>
      </c>
      <c r="G181" s="686" t="inlineStr">
        <is>
          <t>24/09/2026</t>
        </is>
      </c>
      <c r="H181" s="683" t="n"/>
      <c r="I181" s="683" t="n"/>
      <c r="J181" s="683" t="n"/>
      <c r="K181" s="683" t="n"/>
      <c r="L181" s="683" t="n"/>
      <c r="M181" s="683" t="inlineStr">
        <is>
          <t>Mục QL gói cước - UC2 tạo mới gói cước STT 5 - Kỹ thuật: Phân vùng tương đương</t>
        </is>
      </c>
    </row>
    <row r="182" ht="64" customHeight="1" s="668">
      <c r="A182" s="684">
        <f>$C$4&amp;"-"&amp;TEXT(COUNTA($D$12:D182),"00")</f>
        <v/>
      </c>
      <c r="B182" s="687" t="n"/>
      <c r="C182" s="685" t="inlineStr">
        <is>
          <t>Kiểm tra nhập 13 chữ số</t>
        </is>
      </c>
      <c r="D182" s="685" t="inlineStr">
        <is>
          <t>1. Nhập 9999999999999</t>
        </is>
      </c>
      <c r="E182" s="685" t="inlineStr">
        <is>
          <t>1. Hiển thị "9.999.999.999.999", cho phép lưu</t>
        </is>
      </c>
      <c r="F182" s="683" t="inlineStr">
        <is>
          <t>9999999999999</t>
        </is>
      </c>
      <c r="G182" s="686" t="inlineStr">
        <is>
          <t>24/09/2026</t>
        </is>
      </c>
      <c r="H182" s="683" t="n"/>
      <c r="I182" s="683" t="n"/>
      <c r="J182" s="683" t="n"/>
      <c r="K182" s="683" t="n"/>
      <c r="L182" s="683" t="n"/>
      <c r="M182" s="683" t="inlineStr">
        <is>
          <t>Mục QL gói cước - UC2 tạo mới gói cước STT 5 DECIMAL(15,2) - Kỹ thuật: Phân tích giá trị biên</t>
        </is>
      </c>
    </row>
    <row r="183" ht="80" customHeight="1" s="668">
      <c r="A183" s="684">
        <f>$C$4&amp;"-"&amp;TEXT(COUNTA($D$12:D183),"00")</f>
        <v/>
      </c>
      <c r="B183" s="678" t="n"/>
      <c r="C183" s="685" t="inlineStr">
        <is>
          <t>Kiểm tra nhập 14 chữ số</t>
        </is>
      </c>
      <c r="D183" s="685" t="inlineStr">
        <is>
          <t>1. Nhập 99999999999999</t>
        </is>
      </c>
      <c r="E183" s="685" t="inlineStr">
        <is>
          <t>1. Chặn nhập chữ số thứ 14</t>
        </is>
      </c>
      <c r="F183" s="683" t="inlineStr">
        <is>
          <t>99999999999999</t>
        </is>
      </c>
      <c r="G183" s="686" t="inlineStr">
        <is>
          <t>24/09/2026</t>
        </is>
      </c>
      <c r="H183" s="683" t="n"/>
      <c r="I183" s="683" t="n"/>
      <c r="J183" s="683" t="n"/>
      <c r="K183" s="683" t="n"/>
      <c r="L183" s="683" t="n"/>
      <c r="M183" s="683" t="inlineStr">
        <is>
          <t>Mục QL gói cước - UC2 tạo mới gói cước STT 5 DECIMAL(15,2) - Kỹ thuật: Phân tích giá trị biên, SRS chưa nêu max, Cần BA confirm</t>
        </is>
      </c>
    </row>
    <row r="184" ht="32" customHeight="1" s="668">
      <c r="A184" s="684">
        <f>$C$4&amp;"-"&amp;TEXT(COUNTA($D$12:D184),"00")</f>
        <v/>
      </c>
      <c r="B184" s="685" t="inlineStr">
        <is>
          <t>Kiểm tra trường Đơn vị tính (tiền)</t>
        </is>
      </c>
      <c r="C184" s="685" t="inlineStr">
        <is>
          <t>Kiểm tra giá trị mặc định và không cho sửa</t>
        </is>
      </c>
      <c r="D184" s="685" t="inlineStr">
        <is>
          <t>1. Kiểm tra trường Đơn vị tính
2. Click vào trường</t>
        </is>
      </c>
      <c r="E184" s="685" t="inlineStr">
        <is>
          <t>2. Hiển thị "VNĐ" dạng read-only (nền xám), không sửa được</t>
        </is>
      </c>
      <c r="F184" s="683" t="n"/>
      <c r="G184" s="686" t="inlineStr">
        <is>
          <t>24/09/2026</t>
        </is>
      </c>
      <c r="H184" s="683" t="n"/>
      <c r="I184" s="683" t="n"/>
      <c r="J184" s="683" t="n"/>
      <c r="K184" s="683" t="n"/>
      <c r="L184" s="683" t="n"/>
      <c r="M184" s="683" t="inlineStr">
        <is>
          <t>Mục QL gói cước - UC2 tạo mới gói cước STT 6</t>
        </is>
      </c>
    </row>
    <row r="185" ht="32" customHeight="1" s="668">
      <c r="A185" s="684">
        <f>$C$4&amp;"-"&amp;TEXT(COUNTA($D$12:D185),"00")</f>
        <v/>
      </c>
      <c r="B185" s="685" t="inlineStr">
        <is>
          <t>Kiểm tra trường Loại hình gói</t>
        </is>
      </c>
      <c r="C185" s="685" t="inlineStr">
        <is>
          <t>Kiểm tra giá trị mặc định</t>
        </is>
      </c>
      <c r="D185" s="685" t="inlineStr">
        <is>
          <t>1. Kiểm tra Loại hình gói</t>
        </is>
      </c>
      <c r="E185" s="685" t="inlineStr">
        <is>
          <t>1. Mặc định "Gói chính"</t>
        </is>
      </c>
      <c r="F185" s="683" t="n"/>
      <c r="G185" s="686" t="inlineStr">
        <is>
          <t>24/09/2026</t>
        </is>
      </c>
      <c r="H185" s="683" t="n"/>
      <c r="I185" s="683" t="n"/>
      <c r="J185" s="683" t="n"/>
      <c r="K185" s="683" t="n"/>
      <c r="L185" s="683" t="n"/>
      <c r="M185" s="683" t="inlineStr">
        <is>
          <t>Mục QL gói cước - UC2 tạo mới gói cước STT 7</t>
        </is>
      </c>
    </row>
    <row r="186" ht="32" customHeight="1" s="668">
      <c r="A186" s="684">
        <f>$C$4&amp;"-"&amp;TEXT(COUNTA($D$12:D186),"00")</f>
        <v/>
      </c>
      <c r="B186" s="687" t="n"/>
      <c r="C186" s="685" t="inlineStr">
        <is>
          <t>Kiểm tra danh sách lựa chọn</t>
        </is>
      </c>
      <c r="D186" s="685" t="inlineStr">
        <is>
          <t>1. Click dropdown Loại hình gói</t>
        </is>
      </c>
      <c r="E186" s="685" t="inlineStr">
        <is>
          <t>1. Hiển thị 2 lựa chọn: Gói chính, Gói add-on</t>
        </is>
      </c>
      <c r="F186" s="683" t="n"/>
      <c r="G186" s="686" t="inlineStr">
        <is>
          <t>24/09/2026</t>
        </is>
      </c>
      <c r="H186" s="683" t="n"/>
      <c r="I186" s="683" t="n"/>
      <c r="J186" s="683" t="n"/>
      <c r="K186" s="683" t="n"/>
      <c r="L186" s="683" t="n"/>
      <c r="M186" s="683" t="inlineStr">
        <is>
          <t>Mục QL gói cước - UC2 tạo mới gói cước STT 7</t>
        </is>
      </c>
    </row>
    <row r="187" ht="48" customHeight="1" s="668">
      <c r="A187" s="684">
        <f>$C$4&amp;"-"&amp;TEXT(COUNTA($D$12:D187),"00")</f>
        <v/>
      </c>
      <c r="B187" s="678" t="n"/>
      <c r="C187" s="685" t="inlineStr">
        <is>
          <t>Kiểm tra chọn Gói add-on và lưu</t>
        </is>
      </c>
      <c r="D187" s="685" t="inlineStr">
        <is>
          <t>1. Chọn "Gói add-on"
2. Nhập đủ trường khác
3. Click Lưu</t>
        </is>
      </c>
      <c r="E187" s="685" t="inlineStr">
        <is>
          <t>3. Lưu thành công, danh sách hiển thị Loại hình = Add-on</t>
        </is>
      </c>
      <c r="F187" s="683" t="n"/>
      <c r="G187" s="686" t="inlineStr">
        <is>
          <t>24/09/2026</t>
        </is>
      </c>
      <c r="H187" s="683" t="n"/>
      <c r="I187" s="683" t="n"/>
      <c r="J187" s="683" t="n"/>
      <c r="K187" s="683" t="n"/>
      <c r="L187" s="683" t="n"/>
      <c r="M187" s="683" t="inlineStr">
        <is>
          <t>Mục QL gói cước - UC2 tạo mới gói cước STT 7 - Kỹ thuật: Phân vùng tương đương</t>
        </is>
      </c>
    </row>
    <row r="188" ht="64" customHeight="1" s="668">
      <c r="A188" s="684">
        <f>$C$4&amp;"-"&amp;TEXT(COUNTA($D$12:D188),"00")</f>
        <v/>
      </c>
      <c r="B188" s="685" t="inlineStr">
        <is>
          <t>Kiểm tra trường Tag</t>
        </is>
      </c>
      <c r="C188" s="685" t="inlineStr">
        <is>
          <t>Kiểm tra để trống Tag</t>
        </is>
      </c>
      <c r="D188" s="685" t="inlineStr">
        <is>
          <t>1. Để trống Tag
2. Nhập đủ trường bắt buộc khác
3. Click Lưu</t>
        </is>
      </c>
      <c r="E188" s="685" t="inlineStr">
        <is>
          <t>3. Cho phép lưu thành công (trường không bắt buộc)</t>
        </is>
      </c>
      <c r="F188" s="683" t="n"/>
      <c r="G188" s="686" t="inlineStr">
        <is>
          <t>24/09/2026</t>
        </is>
      </c>
      <c r="H188" s="683" t="n"/>
      <c r="I188" s="683" t="n"/>
      <c r="J188" s="683" t="n"/>
      <c r="K188" s="683" t="n"/>
      <c r="L188" s="683" t="n"/>
      <c r="M188" s="683" t="inlineStr">
        <is>
          <t>Mục QL gói cước - UC2 tạo mới gói cước STT 8 - Mâu thuẫn SRS (Bắt buộc = Không) và design (có *) - Cần BA confirm</t>
        </is>
      </c>
    </row>
    <row r="189" ht="48" customHeight="1" s="668">
      <c r="A189" s="684">
        <f>$C$4&amp;"-"&amp;TEXT(COUNTA($D$12:D189),"00")</f>
        <v/>
      </c>
      <c r="B189" s="687" t="n"/>
      <c r="C189" s="685" t="inlineStr">
        <is>
          <t>Kiểm tra nhập 50 ký tự</t>
        </is>
      </c>
      <c r="D189" s="685" t="inlineStr">
        <is>
          <t>1. Nhập 50 ký tự</t>
        </is>
      </c>
      <c r="E189" s="685" t="inlineStr">
        <is>
          <t>1. Hiển thị đủ 50 ký tự</t>
        </is>
      </c>
      <c r="F189" s="683" t="inlineStr">
        <is>
          <t>Chuỗi 50 ký tự</t>
        </is>
      </c>
      <c r="G189" s="686" t="inlineStr">
        <is>
          <t>24/09/2026</t>
        </is>
      </c>
      <c r="H189" s="683" t="n"/>
      <c r="I189" s="683" t="n"/>
      <c r="J189" s="683" t="n"/>
      <c r="K189" s="683" t="n"/>
      <c r="L189" s="683" t="n"/>
      <c r="M189" s="683" t="inlineStr">
        <is>
          <t>Mục QL gói cước - UC2 tạo mới gói cước STT 8 - Kỹ thuật: Phân tích giá trị biên</t>
        </is>
      </c>
    </row>
    <row r="190" ht="80" customHeight="1" s="668">
      <c r="A190" s="684">
        <f>$C$4&amp;"-"&amp;TEXT(COUNTA($D$12:D190),"00")</f>
        <v/>
      </c>
      <c r="B190" s="687" t="n"/>
      <c r="C190" s="685" t="inlineStr">
        <is>
          <t>Kiểm tra nhập 51 ký tự</t>
        </is>
      </c>
      <c r="D190" s="685" t="inlineStr">
        <is>
          <t>1. Nhập 51 ký tự</t>
        </is>
      </c>
      <c r="E190" s="685" t="inlineStr">
        <is>
          <t>1. Chặn nhập ký tự thứ 51</t>
        </is>
      </c>
      <c r="F190" s="683" t="inlineStr">
        <is>
          <t>Chuỗi 51 ký tự</t>
        </is>
      </c>
      <c r="G190" s="686" t="inlineStr">
        <is>
          <t>24/09/2026</t>
        </is>
      </c>
      <c r="H190" s="683" t="n"/>
      <c r="I190" s="683" t="n"/>
      <c r="J190" s="683" t="n"/>
      <c r="K190" s="683" t="n"/>
      <c r="L190" s="683" t="n"/>
      <c r="M190" s="683" t="inlineStr">
        <is>
          <t>Mục QL gói cước - UC2 tạo mới gói cước STT 8 - Kỹ thuật: Phân tích giá trị biên. Kiểu VARCHAR(100) nhưng rule chặn 50 ký tự - Cần BA confirm</t>
        </is>
      </c>
    </row>
    <row r="191" ht="32" customHeight="1" s="668">
      <c r="A191" s="684">
        <f>$C$4&amp;"-"&amp;TEXT(COUNTA($D$12:D191),"00")</f>
        <v/>
      </c>
      <c r="B191" s="678" t="n"/>
      <c r="C191" s="685" t="inlineStr">
        <is>
          <t>Kiểm tra nhập tất cả loại ký tự</t>
        </is>
      </c>
      <c r="D191" s="685" t="inlineStr">
        <is>
          <t>1. Nhập "Giảm 50% khi ra mắt! 🔥"
2. Lưu</t>
        </is>
      </c>
      <c r="E191" s="685" t="inlineStr">
        <is>
          <t>2. Cho phép nhập và lưu đúng dữ liệu</t>
        </is>
      </c>
      <c r="F191" s="683" t="inlineStr">
        <is>
          <t>Giảm 50% khi ra mắt! 🔥</t>
        </is>
      </c>
      <c r="G191" s="686" t="inlineStr">
        <is>
          <t>24/09/2026</t>
        </is>
      </c>
      <c r="H191" s="683" t="n"/>
      <c r="I191" s="683" t="n"/>
      <c r="J191" s="683" t="n"/>
      <c r="K191" s="683" t="n"/>
      <c r="L191" s="683" t="n"/>
      <c r="M191" s="683" t="inlineStr">
        <is>
          <t>Mục QL gói cước - UC2 tạo mới gói cước STT 8</t>
        </is>
      </c>
    </row>
    <row r="192" ht="32" customHeight="1" s="668">
      <c r="A192" s="684">
        <f>$C$4&amp;"-"&amp;TEXT(COUNTA($D$12:D192),"00")</f>
        <v/>
      </c>
      <c r="B192" s="685" t="inlineStr">
        <is>
          <t>Kiểm tra trường Kênh bán (phân phối)</t>
        </is>
      </c>
      <c r="C192" s="685" t="inlineStr">
        <is>
          <t>Kiểm tra danh sách lựa chọn</t>
        </is>
      </c>
      <c r="D192" s="685" t="inlineStr">
        <is>
          <t>1. Click trường Kênh bán</t>
        </is>
      </c>
      <c r="E192" s="685" t="inlineStr">
        <is>
          <t>1. Hiển thị 2 lựa chọn: Miniapp gói cước Tammi, Web OA</t>
        </is>
      </c>
      <c r="F192" s="683" t="n"/>
      <c r="G192" s="686" t="inlineStr">
        <is>
          <t>24/09/2026</t>
        </is>
      </c>
      <c r="H192" s="683" t="n"/>
      <c r="I192" s="683" t="n"/>
      <c r="J192" s="683" t="n"/>
      <c r="K192" s="683" t="n"/>
      <c r="L192" s="683" t="n"/>
      <c r="M192" s="683" t="inlineStr">
        <is>
          <t>Mục QL gói cước - UC2 tạo mới gói cước STT 9</t>
        </is>
      </c>
    </row>
    <row r="193" ht="48" customHeight="1" s="668">
      <c r="A193" s="684">
        <f>$C$4&amp;"-"&amp;TEXT(COUNTA($D$12:D193),"00")</f>
        <v/>
      </c>
      <c r="B193" s="687" t="n"/>
      <c r="C193" s="685" t="inlineStr">
        <is>
          <t>Kiểm tra không chọn kênh nào</t>
        </is>
      </c>
      <c r="D193" s="685" t="inlineStr">
        <is>
          <t>1. Không chọn Kênh bán
2. Click Lưu</t>
        </is>
      </c>
      <c r="E193" s="685" t="inlineStr">
        <is>
          <t>2. Hiển thị lỗi bắt buộc, không lưu gói cước</t>
        </is>
      </c>
      <c r="F193" s="683" t="n"/>
      <c r="G193" s="686" t="inlineStr">
        <is>
          <t>24/09/2026</t>
        </is>
      </c>
      <c r="H193" s="683" t="n"/>
      <c r="I193" s="683" t="n"/>
      <c r="J193" s="683" t="n"/>
      <c r="K193" s="683" t="n"/>
      <c r="L193" s="683" t="n"/>
      <c r="M193" s="683" t="inlineStr">
        <is>
          <t>Mục QL gói cước - UC2 tạo mới gói cước STT 9 - SRS chưa nêu message lỗi, Cần BA confirm</t>
        </is>
      </c>
    </row>
    <row r="194" ht="48" customHeight="1" s="668">
      <c r="A194" s="684">
        <f>$C$4&amp;"-"&amp;TEXT(COUNTA($D$12:D194),"00")</f>
        <v/>
      </c>
      <c r="B194" s="687" t="n"/>
      <c r="C194" s="685" t="inlineStr">
        <is>
          <t>Kiểm tra chọn 1 kênh</t>
        </is>
      </c>
      <c r="D194" s="685" t="inlineStr">
        <is>
          <t>1. Chọn "Web OA"
2. Nhập đủ trường khác
3. Click Lưu</t>
        </is>
      </c>
      <c r="E194" s="685" t="inlineStr">
        <is>
          <t>3. Lưu thành công, distribution_channels = ["WEB_OA"]</t>
        </is>
      </c>
      <c r="F194" s="683" t="n"/>
      <c r="G194" s="686" t="inlineStr">
        <is>
          <t>24/09/2026</t>
        </is>
      </c>
      <c r="H194" s="683" t="n"/>
      <c r="I194" s="683" t="n"/>
      <c r="J194" s="683" t="n"/>
      <c r="K194" s="683" t="n"/>
      <c r="L194" s="683" t="n"/>
      <c r="M194" s="683" t="inlineStr">
        <is>
          <t>Mục QL gói cước - UC2 tạo mới gói cước STT 9 - Kỹ thuật: Phân vùng tương đương</t>
        </is>
      </c>
    </row>
    <row r="195" ht="48" customHeight="1" s="668">
      <c r="A195" s="684">
        <f>$C$4&amp;"-"&amp;TEXT(COUNTA($D$12:D195),"00")</f>
        <v/>
      </c>
      <c r="B195" s="687" t="n"/>
      <c r="C195" s="685" t="inlineStr">
        <is>
          <t>Kiểm tra chọn nhiều kênh</t>
        </is>
      </c>
      <c r="D195" s="685" t="inlineStr">
        <is>
          <t>1. Chọn "Web OA" và "Miniapp gói cước Tammi"
2. Click Lưu</t>
        </is>
      </c>
      <c r="E195" s="685" t="inlineStr">
        <is>
          <t>2. Lưu thành công, distribution_channels = ["WEB_OA", "MINIAPP_TAMMI"]</t>
        </is>
      </c>
      <c r="F195" s="683" t="n"/>
      <c r="G195" s="686" t="inlineStr">
        <is>
          <t>24/09/2026</t>
        </is>
      </c>
      <c r="H195" s="683" t="n"/>
      <c r="I195" s="683" t="n"/>
      <c r="J195" s="683" t="n"/>
      <c r="K195" s="683" t="n"/>
      <c r="L195" s="683" t="n"/>
      <c r="M195" s="683" t="inlineStr">
        <is>
          <t>Mục QL gói cước - UC2 tạo mới gói cước STT 9 - Kỹ thuật: Phân vùng tương đương</t>
        </is>
      </c>
    </row>
    <row r="196" ht="32" customHeight="1" s="668">
      <c r="A196" s="684">
        <f>$C$4&amp;"-"&amp;TEXT(COUNTA($D$12:D196),"00")</f>
        <v/>
      </c>
      <c r="B196" s="678" t="n"/>
      <c r="C196" s="685" t="inlineStr">
        <is>
          <t>Kiểm tra bỏ chọn kênh đã chọn</t>
        </is>
      </c>
      <c r="D196" s="685" t="inlineStr">
        <is>
          <t>1. Chọn "Web OA"
2. Bỏ chọn "Web OA"</t>
        </is>
      </c>
      <c r="E196" s="685" t="inlineStr">
        <is>
          <t>2. Trường Kênh bán trở về rỗng</t>
        </is>
      </c>
      <c r="F196" s="683" t="n"/>
      <c r="G196" s="686" t="inlineStr">
        <is>
          <t>24/09/2026</t>
        </is>
      </c>
      <c r="H196" s="683" t="n"/>
      <c r="I196" s="683" t="n"/>
      <c r="J196" s="683" t="n"/>
      <c r="K196" s="683" t="n"/>
      <c r="L196" s="683" t="n"/>
      <c r="M196" s="683" t="inlineStr">
        <is>
          <t>Mục QL gói cước - UC2 tạo mới gói cước STT 9</t>
        </is>
      </c>
    </row>
    <row r="197" ht="48" customHeight="1" s="668">
      <c r="A197" s="684">
        <f>$C$4&amp;"-"&amp;TEXT(COUNTA($D$12:D197),"00")</f>
        <v/>
      </c>
      <c r="B197" s="685" t="inlineStr">
        <is>
          <t>Kiểm tra trường Bật/tắt trạng thái</t>
        </is>
      </c>
      <c r="C197" s="685" t="inlineStr">
        <is>
          <t>Kiểm tra chỉ chọn được 1 trong 2 lựa chọn</t>
        </is>
      </c>
      <c r="D197" s="685" t="inlineStr">
        <is>
          <t>1. Chọn "Thủ công"
2. Chọn "Tự động"</t>
        </is>
      </c>
      <c r="E197" s="685" t="inlineStr">
        <is>
          <t>2. Chỉ 1 lựa chọn được tick tại 1 thời điểm; chọn Tự động thì Thủ công tự bỏ tick</t>
        </is>
      </c>
      <c r="F197" s="683" t="n"/>
      <c r="G197" s="686" t="inlineStr">
        <is>
          <t>24/09/2026</t>
        </is>
      </c>
      <c r="H197" s="683" t="n"/>
      <c r="I197" s="683" t="n"/>
      <c r="J197" s="683" t="n"/>
      <c r="K197" s="683" t="n"/>
      <c r="L197" s="683" t="n"/>
      <c r="M197" s="683" t="inlineStr">
        <is>
          <t>Mục QL gói cước - UC2 tạo mới gói cước STT 10 - Kỹ thuật: Phân vùng tương đương</t>
        </is>
      </c>
    </row>
    <row r="198" ht="144" customHeight="1" s="668">
      <c r="A198" s="684">
        <f>$C$4&amp;"-"&amp;TEXT(COUNTA($D$12:D198),"00")</f>
        <v/>
      </c>
      <c r="B198" s="687" t="n"/>
      <c r="C198" s="685" t="inlineStr">
        <is>
          <t>Kiểm tra hiển thị trường khi chọn Thủ công</t>
        </is>
      </c>
      <c r="D198" s="685" t="inlineStr">
        <is>
          <t>1. Chọn "Thủ công"
2. Kiểm tra các trường phụ thuộc</t>
        </is>
      </c>
      <c r="E198" s="685" t="inlineStr">
        <is>
          <t>2. 
- Hiển thị trường Trạng thái kinh doanh (Đang kinh doanh / Ngừng kinh doanh)
- Ẩn/không bắt buộc Thời gian bắt đầu, Thời gian kết thúc</t>
        </is>
      </c>
      <c r="F198" s="683" t="n"/>
      <c r="G198" s="686" t="inlineStr">
        <is>
          <t>24/09/2026</t>
        </is>
      </c>
      <c r="H198" s="683" t="n"/>
      <c r="I198" s="683" t="n"/>
      <c r="J198" s="683" t="n"/>
      <c r="K198" s="683" t="n"/>
      <c r="L198" s="683" t="n"/>
      <c r="M198" s="683" t="inlineStr">
        <is>
          <t>Kỹ thuật: Bảng quyết định. MÂU THUẪN: BR02 và bảng field ghi Thủ công -&gt; bắt buộc thời gian, Tự động -&gt; chọn trạng thái KD; nhưng bảng Trạng thái gói cước, Dữ liệu cần lưu và design thể hiện ngược lại. TC viết theo design + bảng trạng thái - Cần BA confirm</t>
        </is>
      </c>
    </row>
    <row r="199" ht="48" customHeight="1" s="668">
      <c r="A199" s="684">
        <f>$C$4&amp;"-"&amp;TEXT(COUNTA($D$12:D199),"00")</f>
        <v/>
      </c>
      <c r="B199" s="687" t="n"/>
      <c r="C199" s="685" t="inlineStr">
        <is>
          <t>Kiểm tra hiển thị trường khi chọn Tự động</t>
        </is>
      </c>
      <c r="D199" s="685" t="inlineStr">
        <is>
          <t>1. Chọn "Tự động"
2. Kiểm tra các trường phụ thuộc</t>
        </is>
      </c>
      <c r="E199" s="685" t="inlineStr">
        <is>
          <t>2. 
- Hiển thị Thời gian bắt đầu *, Thời gian kết thúc *
- Ẩn trường Trạng thái kinh doanh</t>
        </is>
      </c>
      <c r="F199" s="683" t="n"/>
      <c r="G199" s="686" t="inlineStr">
        <is>
          <t>24/09/2026</t>
        </is>
      </c>
      <c r="H199" s="683" t="n"/>
      <c r="I199" s="683" t="n"/>
      <c r="J199" s="683" t="n"/>
      <c r="K199" s="683" t="n"/>
      <c r="L199" s="683" t="n"/>
      <c r="M199" s="683" t="inlineStr">
        <is>
          <t>Kỹ thuật: Bảng quyết định. Xem mâu thuẫn BR02 tại TC trên - Cần BA confirm</t>
        </is>
      </c>
    </row>
    <row r="200" ht="48" customHeight="1" s="668">
      <c r="A200" s="684">
        <f>$C$4&amp;"-"&amp;TEXT(COUNTA($D$12:D200),"00")</f>
        <v/>
      </c>
      <c r="B200" s="678" t="n"/>
      <c r="C200" s="685" t="inlineStr">
        <is>
          <t>Kiểm tra chuyển Tự động -&gt; Thủ công sau khi đã nhập thời gian</t>
        </is>
      </c>
      <c r="D200" s="685" t="inlineStr">
        <is>
          <t>1. Chọn Tự động, nhập Thời gian bắt đầu/kết thúc
2. Chuyển sang Thủ công
3. Click Lưu</t>
        </is>
      </c>
      <c r="E200" s="685" t="inlineStr">
        <is>
          <t>3. Lưu thành công, không validate thời gian; start_time/end_time không lưu</t>
        </is>
      </c>
      <c r="F200" s="683" t="n"/>
      <c r="G200" s="686" t="inlineStr">
        <is>
          <t>24/09/2026</t>
        </is>
      </c>
      <c r="H200" s="683" t="n"/>
      <c r="I200" s="683" t="n"/>
      <c r="J200" s="683" t="n"/>
      <c r="K200" s="683" t="n"/>
      <c r="L200" s="683" t="n"/>
      <c r="M200" s="683" t="inlineStr">
        <is>
          <t>Kỹ thuật: Bảng quyết định - Cần BA confirm</t>
        </is>
      </c>
    </row>
    <row r="201" ht="64" customHeight="1" s="668">
      <c r="A201" s="684">
        <f>$C$4&amp;"-"&amp;TEXT(COUNTA($D$12:D201),"00")</f>
        <v/>
      </c>
      <c r="B201" s="685" t="inlineStr">
        <is>
          <t>Kiểm tra trường Trạng thái kinh doanh</t>
        </is>
      </c>
      <c r="C201" s="685" t="inlineStr">
        <is>
          <t>Kiểm tra giá trị mặc định và lựa chọn</t>
        </is>
      </c>
      <c r="D201" s="685" t="inlineStr">
        <is>
          <t>ĐK: Bật/tắt trạng thái = Thủ công
1. Kiểm tra trường Trạng thái kinh doanh
2. Click dropdown</t>
        </is>
      </c>
      <c r="E201" s="685" t="inlineStr">
        <is>
          <t>1. Mặc định "Đang kinh doanh"
2. Hiển thị 2 lựa chọn: Đang kinh doanh, Ngừng kinh doanh</t>
        </is>
      </c>
      <c r="F201" s="683" t="n"/>
      <c r="G201" s="686" t="inlineStr">
        <is>
          <t>24/09/2026</t>
        </is>
      </c>
      <c r="H201" s="683" t="n"/>
      <c r="I201" s="683" t="n"/>
      <c r="J201" s="683" t="n"/>
      <c r="K201" s="683" t="n"/>
      <c r="L201" s="683" t="n"/>
      <c r="M201" s="683" t="inlineStr">
        <is>
          <t>Mục QL gói cước - UC2 tạo mới gói cước - trường Trạng thái kinh doanh (không có trong design) - Cần BA confirm</t>
        </is>
      </c>
    </row>
    <row r="202" ht="64" customHeight="1" s="668">
      <c r="A202" s="684">
        <f>$C$4&amp;"-"&amp;TEXT(COUNTA($D$12:D202),"00")</f>
        <v/>
      </c>
      <c r="B202" s="678" t="n"/>
      <c r="C202" s="685" t="inlineStr">
        <is>
          <t>Kiểm tra lưu với trạng thái kinh doanh Ngừng kinh doanh</t>
        </is>
      </c>
      <c r="D202" s="685" t="inlineStr">
        <is>
          <t>ĐK: Thủ công
1. Chọn "Ngừng kinh doanh"
2. Nhập đủ trường khác
3. Click Lưu</t>
        </is>
      </c>
      <c r="E202" s="685" t="inlineStr">
        <is>
          <t>3. Lưu thành công, gói trạng thái Nháp, Sale_status = PENDING</t>
        </is>
      </c>
      <c r="F202" s="683" t="n"/>
      <c r="G202" s="686" t="inlineStr">
        <is>
          <t>24/09/2026</t>
        </is>
      </c>
      <c r="H202" s="683" t="n"/>
      <c r="I202" s="683" t="n"/>
      <c r="J202" s="683" t="n"/>
      <c r="K202" s="683" t="n"/>
      <c r="L202" s="683" t="n"/>
      <c r="M202" s="683" t="inlineStr">
        <is>
          <t>Mục QL gói cước - UC2 tạo mới gói cước BR01 - Kỹ thuật: Phân vùng tương đương</t>
        </is>
      </c>
    </row>
    <row r="203" ht="96" customHeight="1" s="668">
      <c r="A203" s="684">
        <f>$C$4&amp;"-"&amp;TEXT(COUNTA($D$12:D203),"00")</f>
        <v/>
      </c>
      <c r="B203" s="685" t="inlineStr">
        <is>
          <t>Kiểm tra trường Thời gian bắt đầu</t>
        </is>
      </c>
      <c r="C203" s="685" t="inlineStr">
        <is>
          <t>Kiểm tra giá trị mặc định</t>
        </is>
      </c>
      <c r="D203" s="685" t="inlineStr">
        <is>
          <t>ĐK: Bật/tắt trạng thái = Tự động
1. Kiểm tra Thời gian bắt đầu</t>
        </is>
      </c>
      <c r="E203" s="685" t="inlineStr">
        <is>
          <t>1. Mặc định ngày hiện tại</t>
        </is>
      </c>
      <c r="F203" s="683" t="n"/>
      <c r="G203" s="686" t="inlineStr">
        <is>
          <t>24/09/2026</t>
        </is>
      </c>
      <c r="H203" s="683" t="n"/>
      <c r="I203" s="683" t="n"/>
      <c r="J203" s="683" t="n"/>
      <c r="K203" s="683" t="n"/>
      <c r="L203" s="683" t="n"/>
      <c r="M203" s="683" t="inlineStr">
        <is>
          <t>Mục QL gói cước - UC2 tạo mới gói cước STT 11 - Mặc định "Ngày hiện tại" nhưng rule yêu cầu &gt; thời điểm hiện tại -&gt; giá trị mặc định luôn không hợp lệ, Cần BA confirm</t>
        </is>
      </c>
    </row>
    <row r="204" ht="64" customHeight="1" s="668">
      <c r="A204" s="684">
        <f>$C$4&amp;"-"&amp;TEXT(COUNTA($D$12:D204),"00")</f>
        <v/>
      </c>
      <c r="B204" s="687" t="n"/>
      <c r="C204" s="685" t="inlineStr">
        <is>
          <t>Kiểm tra định dạng hiển thị</t>
        </is>
      </c>
      <c r="D204" s="685" t="inlineStr">
        <is>
          <t>ĐK: Tự động
1. Chọn thời gian bắt đầu từ date picker</t>
        </is>
      </c>
      <c r="E204" s="685" t="inlineStr">
        <is>
          <t>1. Hiển thị định dạng DD/MM/YYYY HH:mm:ss</t>
        </is>
      </c>
      <c r="F204" s="683" t="inlineStr">
        <is>
          <t>25/09/2026 08:00:00</t>
        </is>
      </c>
      <c r="G204" s="686" t="inlineStr">
        <is>
          <t>24/09/2026</t>
        </is>
      </c>
      <c r="H204" s="683" t="n"/>
      <c r="I204" s="683" t="n"/>
      <c r="J204" s="683" t="n"/>
      <c r="K204" s="683" t="n"/>
      <c r="L204" s="683" t="n"/>
      <c r="M204" s="683" t="inlineStr">
        <is>
          <t>Mục QL gói cước - UC2 tạo mới gói cước STT 11 - Design chỉ hiển thị DD/MM/YYYY - Cần BA confirm</t>
        </is>
      </c>
    </row>
    <row r="205" ht="48" customHeight="1" s="668">
      <c r="A205" s="684">
        <f>$C$4&amp;"-"&amp;TEXT(COUNTA($D$12:D205),"00")</f>
        <v/>
      </c>
      <c r="B205" s="687" t="n"/>
      <c r="C205" s="685" t="inlineStr">
        <is>
          <t>Kiểm tra để trống khi Tự động</t>
        </is>
      </c>
      <c r="D205" s="685" t="inlineStr">
        <is>
          <t>ĐK: Tự động
1. Xoá Thời gian bắt đầu
2. Click Lưu</t>
        </is>
      </c>
      <c r="E205" s="685" t="inlineStr">
        <is>
          <t>2. Hiển thị lỗi inline: "Vui lòng nhập thông tin"</t>
        </is>
      </c>
      <c r="F205" s="683" t="n"/>
      <c r="G205" s="686" t="inlineStr">
        <is>
          <t>24/09/2026</t>
        </is>
      </c>
      <c r="H205" s="683" t="n"/>
      <c r="I205" s="683" t="n"/>
      <c r="J205" s="683" t="n"/>
      <c r="K205" s="683" t="n"/>
      <c r="L205" s="683" t="n"/>
      <c r="M205" s="683" t="inlineStr">
        <is>
          <t>Mục QL gói cước - UC2 tạo mới gói cước STT 11 - Kỹ thuật: Bảng quyết định</t>
        </is>
      </c>
    </row>
    <row r="206" ht="64" customHeight="1" s="668">
      <c r="A206" s="684">
        <f>$C$4&amp;"-"&amp;TEXT(COUNTA($D$12:D206),"00")</f>
        <v/>
      </c>
      <c r="B206" s="687" t="n"/>
      <c r="C206" s="685" t="inlineStr">
        <is>
          <t>Kiểm tra thời gian bắt đầu nhỏ hơn hiện tại</t>
        </is>
      </c>
      <c r="D206" s="685" t="inlineStr">
        <is>
          <t>ĐK: Tự động
1. Chọn thời gian bắt đầu = hiện tại - 1 phút
2. Click Lưu</t>
        </is>
      </c>
      <c r="E206" s="685" t="inlineStr">
        <is>
          <t>2. Không cho phép lưu / không cho chọn thời điểm quá khứ</t>
        </is>
      </c>
      <c r="F206" s="683" t="inlineStr">
        <is>
          <t>Hiện tại - 1 phút</t>
        </is>
      </c>
      <c r="G206" s="686" t="inlineStr">
        <is>
          <t>24/09/2026</t>
        </is>
      </c>
      <c r="H206" s="683" t="n"/>
      <c r="I206" s="683" t="n"/>
      <c r="J206" s="683" t="n"/>
      <c r="K206" s="683" t="n"/>
      <c r="L206" s="683" t="n"/>
      <c r="M206" s="683" t="inlineStr">
        <is>
          <t>Mục QL gói cước - UC2 tạo mới gói cước STT 11 - Kỹ thuật: Phân tích giá trị biên, SRS chưa nêu message, Cần BA confirm</t>
        </is>
      </c>
    </row>
    <row r="207" ht="48" customHeight="1" s="668">
      <c r="A207" s="684">
        <f>$C$4&amp;"-"&amp;TEXT(COUNTA($D$12:D207),"00")</f>
        <v/>
      </c>
      <c r="B207" s="687" t="n"/>
      <c r="C207" s="685" t="inlineStr">
        <is>
          <t>Kiểm tra thời gian bắt đầu bằng hiện tại</t>
        </is>
      </c>
      <c r="D207" s="685" t="inlineStr">
        <is>
          <t>ĐK: Tự động
1. Chọn thời gian bắt đầu = thời điểm hiện tại
2. Click Lưu</t>
        </is>
      </c>
      <c r="E207" s="685" t="inlineStr">
        <is>
          <t>2. Không cho phép lưu (yêu cầu &gt; hiện tại)</t>
        </is>
      </c>
      <c r="F207" s="683" t="inlineStr">
        <is>
          <t>Hiện tại</t>
        </is>
      </c>
      <c r="G207" s="686" t="inlineStr">
        <is>
          <t>24/09/2026</t>
        </is>
      </c>
      <c r="H207" s="683" t="n"/>
      <c r="I207" s="683" t="n"/>
      <c r="J207" s="683" t="n"/>
      <c r="K207" s="683" t="n"/>
      <c r="L207" s="683" t="n"/>
      <c r="M207" s="683" t="inlineStr">
        <is>
          <t>Mục QL gói cước - UC2 tạo mới gói cước STT 11 - Kỹ thuật: Phân tích giá trị biên</t>
        </is>
      </c>
    </row>
    <row r="208" ht="48" customHeight="1" s="668">
      <c r="A208" s="684">
        <f>$C$4&amp;"-"&amp;TEXT(COUNTA($D$12:D208),"00")</f>
        <v/>
      </c>
      <c r="B208" s="678" t="n"/>
      <c r="C208" s="685" t="inlineStr">
        <is>
          <t>Kiểm tra thời gian bắt đầu lớn hơn hiện tại</t>
        </is>
      </c>
      <c r="D208" s="685" t="inlineStr">
        <is>
          <t>ĐK: Tự động
1. Chọn thời gian bắt đầu = hiện tại + 1 phút, kết thúc hợp lệ
2. Click Lưu</t>
        </is>
      </c>
      <c r="E208" s="685" t="inlineStr">
        <is>
          <t>2. Lưu thành công</t>
        </is>
      </c>
      <c r="F208" s="683" t="inlineStr">
        <is>
          <t>Hiện tại + 1 phút</t>
        </is>
      </c>
      <c r="G208" s="686" t="inlineStr">
        <is>
          <t>24/09/2026</t>
        </is>
      </c>
      <c r="H208" s="683" t="n"/>
      <c r="I208" s="683" t="n"/>
      <c r="J208" s="683" t="n"/>
      <c r="K208" s="683" t="n"/>
      <c r="L208" s="683" t="n"/>
      <c r="M208" s="683" t="inlineStr">
        <is>
          <t>Mục QL gói cước - UC2 tạo mới gói cước STT 11 - Kỹ thuật: Phân tích giá trị biên</t>
        </is>
      </c>
    </row>
    <row r="209" ht="64" customHeight="1" s="668">
      <c r="A209" s="684">
        <f>$C$4&amp;"-"&amp;TEXT(COUNTA($D$12:D209),"00")</f>
        <v/>
      </c>
      <c r="B209" s="685" t="inlineStr">
        <is>
          <t>Kiểm tra trường Thời gian kết thúc</t>
        </is>
      </c>
      <c r="C209" s="685" t="inlineStr">
        <is>
          <t>Kiểm tra giá trị mặc định</t>
        </is>
      </c>
      <c r="D209" s="685" t="inlineStr">
        <is>
          <t>ĐK: Tự động
1. Kiểm tra Thời gian kết thúc</t>
        </is>
      </c>
      <c r="E209" s="685" t="inlineStr">
        <is>
          <t>1. Mặc định rỗng</t>
        </is>
      </c>
      <c r="F209" s="683" t="n"/>
      <c r="G209" s="686" t="inlineStr">
        <is>
          <t>24/09/2026</t>
        </is>
      </c>
      <c r="H209" s="683" t="n"/>
      <c r="I209" s="683" t="n"/>
      <c r="J209" s="683" t="n"/>
      <c r="K209" s="683" t="n"/>
      <c r="L209" s="683" t="n"/>
      <c r="M209" s="683" t="inlineStr">
        <is>
          <t>Mục QL gói cước - UC2 tạo mới gói cước STT 12 - Design đang hiển thị sẵn 11/09/2026 - Cần BA confirm</t>
        </is>
      </c>
    </row>
    <row r="210" ht="48" customHeight="1" s="668">
      <c r="A210" s="684">
        <f>$C$4&amp;"-"&amp;TEXT(COUNTA($D$12:D210),"00")</f>
        <v/>
      </c>
      <c r="B210" s="687" t="n"/>
      <c r="C210" s="685" t="inlineStr">
        <is>
          <t>Kiểm tra để trống khi Tự động</t>
        </is>
      </c>
      <c r="D210" s="685" t="inlineStr">
        <is>
          <t>ĐK: Tự động
1. Để trống Thời gian kết thúc
2. Click Lưu</t>
        </is>
      </c>
      <c r="E210" s="685" t="inlineStr">
        <is>
          <t>2. Hiển thị lỗi inline: "Vui lòng nhập thông tin"</t>
        </is>
      </c>
      <c r="F210" s="683" t="n"/>
      <c r="G210" s="686" t="inlineStr">
        <is>
          <t>24/09/2026</t>
        </is>
      </c>
      <c r="H210" s="683" t="n"/>
      <c r="I210" s="683" t="n"/>
      <c r="J210" s="683" t="n"/>
      <c r="K210" s="683" t="n"/>
      <c r="L210" s="683" t="n"/>
      <c r="M210" s="683" t="inlineStr">
        <is>
          <t>Mục QL gói cước - UC2 tạo mới gói cước STT 12 - Kỹ thuật: Bảng quyết định</t>
        </is>
      </c>
    </row>
    <row r="211" ht="64" customHeight="1" s="668">
      <c r="A211" s="684">
        <f>$C$4&amp;"-"&amp;TEXT(COUNTA($D$12:D211),"00")</f>
        <v/>
      </c>
      <c r="B211" s="687" t="n"/>
      <c r="C211" s="685" t="inlineStr">
        <is>
          <t>Kiểm tra thời gian kết thúc nhỏ hơn thời gian bắt đầu</t>
        </is>
      </c>
      <c r="D211" s="685" t="inlineStr">
        <is>
          <t>ĐK: Tự động, bắt đầu 01/10/2026 08:00:00
1. Chọn kết thúc 01/10/2026 07:59:59
2. Click Lưu</t>
        </is>
      </c>
      <c r="E211" s="685" t="inlineStr">
        <is>
          <t>2. Không cho phép lưu, báo lỗi thời gian kết thúc phải &gt; thời gian bắt đầu</t>
        </is>
      </c>
      <c r="F211" s="683" t="n"/>
      <c r="G211" s="686" t="inlineStr">
        <is>
          <t>24/09/2026</t>
        </is>
      </c>
      <c r="H211" s="683" t="n"/>
      <c r="I211" s="683" t="n"/>
      <c r="J211" s="683" t="n"/>
      <c r="K211" s="683" t="n"/>
      <c r="L211" s="683" t="n"/>
      <c r="M211" s="683" t="inlineStr">
        <is>
          <t>Mục QL gói cước - UC2 tạo mới gói cước STT 12 - Kỹ thuật: Phân tích giá trị biên, SRS chưa nêu message, Cần BA confirm</t>
        </is>
      </c>
    </row>
    <row r="212" ht="48" customHeight="1" s="668">
      <c r="A212" s="684">
        <f>$C$4&amp;"-"&amp;TEXT(COUNTA($D$12:D212),"00")</f>
        <v/>
      </c>
      <c r="B212" s="687" t="n"/>
      <c r="C212" s="685" t="inlineStr">
        <is>
          <t>Kiểm tra thời gian kết thúc bằng thời gian bắt đầu</t>
        </is>
      </c>
      <c r="D212" s="685" t="inlineStr">
        <is>
          <t>ĐK: Tự động, bắt đầu 01/10/2026 08:00:00
1. Chọn kết thúc 01/10/2026 08:00:00
2. Click Lưu</t>
        </is>
      </c>
      <c r="E212" s="685" t="inlineStr">
        <is>
          <t>2. Không cho phép lưu</t>
        </is>
      </c>
      <c r="F212" s="683" t="n"/>
      <c r="G212" s="686" t="inlineStr">
        <is>
          <t>24/09/2026</t>
        </is>
      </c>
      <c r="H212" s="683" t="n"/>
      <c r="I212" s="683" t="n"/>
      <c r="J212" s="683" t="n"/>
      <c r="K212" s="683" t="n"/>
      <c r="L212" s="683" t="n"/>
      <c r="M212" s="683" t="inlineStr">
        <is>
          <t>Mục QL gói cước - UC2 tạo mới gói cước STT 12 - Kỹ thuật: Phân tích giá trị biên</t>
        </is>
      </c>
    </row>
    <row r="213" ht="48" customHeight="1" s="668">
      <c r="A213" s="684">
        <f>$C$4&amp;"-"&amp;TEXT(COUNTA($D$12:D213),"00")</f>
        <v/>
      </c>
      <c r="B213" s="687" t="n"/>
      <c r="C213" s="685" t="inlineStr">
        <is>
          <t>Kiểm tra thời gian kết thúc lớn hơn thời gian bắt đầu 1 giây</t>
        </is>
      </c>
      <c r="D213" s="685" t="inlineStr">
        <is>
          <t>ĐK: Tự động, bắt đầu 01/10/2026 08:00:00
1. Chọn kết thúc 01/10/2026 08:00:01
2. Click Lưu</t>
        </is>
      </c>
      <c r="E213" s="685" t="inlineStr">
        <is>
          <t>2. Lưu thành công</t>
        </is>
      </c>
      <c r="F213" s="683" t="n"/>
      <c r="G213" s="686" t="inlineStr">
        <is>
          <t>24/09/2026</t>
        </is>
      </c>
      <c r="H213" s="683" t="n"/>
      <c r="I213" s="683" t="n"/>
      <c r="J213" s="683" t="n"/>
      <c r="K213" s="683" t="n"/>
      <c r="L213" s="683" t="n"/>
      <c r="M213" s="683" t="inlineStr">
        <is>
          <t>Mục QL gói cước - UC2 tạo mới gói cước STT 12 - Kỹ thuật: Phân tích giá trị biên</t>
        </is>
      </c>
    </row>
    <row r="214" ht="48" customHeight="1" s="668">
      <c r="A214" s="684">
        <f>$C$4&amp;"-"&amp;TEXT(COUNTA($D$12:D214),"00")</f>
        <v/>
      </c>
      <c r="B214" s="678" t="n"/>
      <c r="C214" s="685" t="inlineStr">
        <is>
          <t>Kiểm tra nhập tay sai định dạng ngày</t>
        </is>
      </c>
      <c r="D214" s="685" t="inlineStr">
        <is>
          <t>ĐK: Tự động
1. Nhập tay "31/02/2026" hoặc "abc"</t>
        </is>
      </c>
      <c r="E214" s="685" t="inlineStr">
        <is>
          <t>1. Không nhận giá trị không hợp lệ, báo lỗi định dạng</t>
        </is>
      </c>
      <c r="F214" s="683" t="inlineStr">
        <is>
          <t>31/02/2026</t>
        </is>
      </c>
      <c r="G214" s="686" t="inlineStr">
        <is>
          <t>24/09/2026</t>
        </is>
      </c>
      <c r="H214" s="683" t="n"/>
      <c r="I214" s="683" t="n"/>
      <c r="J214" s="683" t="n"/>
      <c r="K214" s="683" t="n"/>
      <c r="L214" s="683" t="n"/>
      <c r="M214" s="683" t="inlineStr">
        <is>
          <t>Mục QL gói cước - UC2 tạo mới gói cước STT 11, 12 - Kỹ thuật: Phân vùng tương đương</t>
        </is>
      </c>
    </row>
    <row r="215" ht="64" customHeight="1" s="668">
      <c r="A215" s="684">
        <f>$C$4&amp;"-"&amp;TEXT(COUNTA($D$12:D215),"00")</f>
        <v/>
      </c>
      <c r="B215" s="685" t="inlineStr">
        <is>
          <t>Kiểm tra trường Số lượng đăng ký giới hạn</t>
        </is>
      </c>
      <c r="C215" s="685" t="inlineStr">
        <is>
          <t>Kiểm tra để trống</t>
        </is>
      </c>
      <c r="D215" s="685" t="inlineStr">
        <is>
          <t>1. Để trống
2. Nhập đủ trường khác
3. Click Lưu</t>
        </is>
      </c>
      <c r="E215" s="685" t="inlineStr">
        <is>
          <t>3. Lưu thành công, max_purchase_quantity = null (không giới hạn)</t>
        </is>
      </c>
      <c r="F215" s="683" t="n"/>
      <c r="G215" s="686" t="inlineStr">
        <is>
          <t>24/09/2026</t>
        </is>
      </c>
      <c r="H215" s="683" t="n"/>
      <c r="I215" s="683" t="n"/>
      <c r="J215" s="683" t="n"/>
      <c r="K215" s="683" t="n"/>
      <c r="L215" s="683" t="n"/>
      <c r="M215" s="683" t="inlineStr">
        <is>
          <t>Mục QL gói cước - UC2 tạo mới gói cước - trường không có STT, không có trong design - Cần BA confirm</t>
        </is>
      </c>
    </row>
    <row r="216" ht="32" customHeight="1" s="668">
      <c r="A216" s="684">
        <f>$C$4&amp;"-"&amp;TEXT(COUNTA($D$12:D216),"00")</f>
        <v/>
      </c>
      <c r="B216" s="687" t="n"/>
      <c r="C216" s="685" t="inlineStr">
        <is>
          <t>Kiểm tra nhập 0</t>
        </is>
      </c>
      <c r="D216" s="685" t="inlineStr">
        <is>
          <t>1. Nhập 0
2. Click Lưu</t>
        </is>
      </c>
      <c r="E216" s="685" t="inlineStr">
        <is>
          <t>2. Lưu thành công, hiểu là không giới hạn</t>
        </is>
      </c>
      <c r="F216" s="683" t="inlineStr">
        <is>
          <t>0</t>
        </is>
      </c>
      <c r="G216" s="686" t="inlineStr">
        <is>
          <t>24/09/2026</t>
        </is>
      </c>
      <c r="H216" s="683" t="n"/>
      <c r="I216" s="683" t="n"/>
      <c r="J216" s="683" t="n"/>
      <c r="K216" s="683" t="n"/>
      <c r="L216" s="683" t="n"/>
      <c r="M216" s="683" t="inlineStr">
        <is>
          <t>Kỹ thuật: Phân tích giá trị biên</t>
        </is>
      </c>
    </row>
    <row r="217" ht="32" customHeight="1" s="668">
      <c r="A217" s="684">
        <f>$C$4&amp;"-"&amp;TEXT(COUNTA($D$12:D217),"00")</f>
        <v/>
      </c>
      <c r="B217" s="687" t="n"/>
      <c r="C217" s="685" t="inlineStr">
        <is>
          <t>Kiểm tra nhập 1</t>
        </is>
      </c>
      <c r="D217" s="685" t="inlineStr">
        <is>
          <t>1. Nhập 1
2. Click Lưu</t>
        </is>
      </c>
      <c r="E217" s="685" t="inlineStr">
        <is>
          <t>2. Lưu thành công, mỗi user chỉ đăng ký được 1 lần</t>
        </is>
      </c>
      <c r="F217" s="683" t="inlineStr">
        <is>
          <t>1</t>
        </is>
      </c>
      <c r="G217" s="686" t="inlineStr">
        <is>
          <t>24/09/2026</t>
        </is>
      </c>
      <c r="H217" s="683" t="n"/>
      <c r="I217" s="683" t="n"/>
      <c r="J217" s="683" t="n"/>
      <c r="K217" s="683" t="n"/>
      <c r="L217" s="683" t="n"/>
      <c r="M217" s="683" t="inlineStr">
        <is>
          <t>Kỹ thuật: Phân tích giá trị biên</t>
        </is>
      </c>
    </row>
    <row r="218" ht="32" customHeight="1" s="668">
      <c r="A218" s="684">
        <f>$C$4&amp;"-"&amp;TEXT(COUNTA($D$12:D218),"00")</f>
        <v/>
      </c>
      <c r="B218" s="678" t="n"/>
      <c r="C218" s="685" t="inlineStr">
        <is>
          <t>Kiểm tra nhập số âm, thập phân, chữ</t>
        </is>
      </c>
      <c r="D218" s="685" t="inlineStr">
        <is>
          <t>1. Lần lượt nhập -1, 1.5, "abc"</t>
        </is>
      </c>
      <c r="E218" s="685" t="inlineStr">
        <is>
          <t>1. Chặn không cho nhập</t>
        </is>
      </c>
      <c r="F218" s="683" t="inlineStr">
        <is>
          <t>-1 / 1.5 / abc</t>
        </is>
      </c>
      <c r="G218" s="686" t="inlineStr">
        <is>
          <t>24/09/2026</t>
        </is>
      </c>
      <c r="H218" s="683" t="n"/>
      <c r="I218" s="683" t="n"/>
      <c r="J218" s="683" t="n"/>
      <c r="K218" s="683" t="n"/>
      <c r="L218" s="683" t="n"/>
      <c r="M218" s="683" t="inlineStr">
        <is>
          <t>Kỹ thuật: Phân vùng tương đương</t>
        </is>
      </c>
    </row>
    <row r="219" ht="32" customHeight="1" s="668">
      <c r="A219" s="684">
        <f>$C$4&amp;"-"&amp;TEXT(COUNTA($D$12:D219),"00")</f>
        <v/>
      </c>
      <c r="B219" s="685" t="inlineStr">
        <is>
          <t>Kiểm tra trường Loại gói cước</t>
        </is>
      </c>
      <c r="C219" s="685" t="inlineStr">
        <is>
          <t>Kiểm tra tự gán khi vào từ dòng cha</t>
        </is>
      </c>
      <c r="D219" s="685" t="inlineStr">
        <is>
          <t>1. Tại danh sách, mở rộng loại gói "Plus OA Business"
2. Click "+ Thêm gói cước"</t>
        </is>
      </c>
      <c r="E219" s="685" t="inlineStr">
        <is>
          <t>2. Trường Loại gói cước hiển thị "Plus OA Business"</t>
        </is>
      </c>
      <c r="F219" s="683" t="n"/>
      <c r="G219" s="686" t="inlineStr">
        <is>
          <t>24/09/2026</t>
        </is>
      </c>
      <c r="H219" s="683" t="n"/>
      <c r="I219" s="683" t="n"/>
      <c r="J219" s="683" t="n"/>
      <c r="K219" s="683" t="n"/>
      <c r="L219" s="683" t="n"/>
      <c r="M219" s="683" t="inlineStr">
        <is>
          <t>Mục QL gói cước - UC2 tạo mới gói cước STT 13 Th1</t>
        </is>
      </c>
    </row>
    <row r="220" ht="48" customHeight="1" s="668">
      <c r="A220" s="684">
        <f>$C$4&amp;"-"&amp;TEXT(COUNTA($D$12:D220),"00")</f>
        <v/>
      </c>
      <c r="B220" s="687" t="n"/>
      <c r="C220" s="685" t="inlineStr">
        <is>
          <t>Kiểm tra để trống khi vào từ button Thêm gói cước chung</t>
        </is>
      </c>
      <c r="D220" s="685" t="inlineStr">
        <is>
          <t>1. Click button "Thêm gói cước" góc phải trên màn danh sách
2. Kiểm tra Loại gói cước</t>
        </is>
      </c>
      <c r="E220" s="685" t="inlineStr">
        <is>
          <t>2. 
- Trường Loại gói cước rỗng
- Khối Danh sách tính năng chưa hiển thị tính năng</t>
        </is>
      </c>
      <c r="F220" s="683" t="n"/>
      <c r="G220" s="686" t="inlineStr">
        <is>
          <t>24/09/2026</t>
        </is>
      </c>
      <c r="H220" s="683" t="n"/>
      <c r="I220" s="683" t="n"/>
      <c r="J220" s="683" t="n"/>
      <c r="K220" s="683" t="n"/>
      <c r="L220" s="683" t="n"/>
      <c r="M220" s="683" t="inlineStr">
        <is>
          <t>Mục QL gói cước - UC2 tạo mới gói cước STT 13 Th2</t>
        </is>
      </c>
    </row>
    <row r="221" ht="48" customHeight="1" s="668">
      <c r="A221" s="684">
        <f>$C$4&amp;"-"&amp;TEXT(COUNTA($D$12:D221),"00")</f>
        <v/>
      </c>
      <c r="B221" s="687" t="n"/>
      <c r="C221" s="685" t="inlineStr">
        <is>
          <t>Kiểm tra danh sách loại gói có thể chọn</t>
        </is>
      </c>
      <c r="D221" s="685" t="inlineStr">
        <is>
          <t>ĐK: Vào từ button Thêm gói cước chung
1. Click trường Loại gói cước</t>
        </is>
      </c>
      <c r="E221" s="685" t="inlineStr">
        <is>
          <t>1. Hiển thị danh sách loại gói cước trạng thái Đang hoạt động, không có loại gói Đã xoá</t>
        </is>
      </c>
      <c r="F221" s="683" t="n"/>
      <c r="G221" s="686" t="inlineStr">
        <is>
          <t>24/09/2026</t>
        </is>
      </c>
      <c r="H221" s="683" t="n"/>
      <c r="I221" s="683" t="n"/>
      <c r="J221" s="683" t="n"/>
      <c r="K221" s="683" t="n"/>
      <c r="L221" s="683" t="n"/>
      <c r="M221" s="683" t="inlineStr">
        <is>
          <t>Mục QL gói cước - UC2 tạo mới gói cước STT 13, Pre-condition 2</t>
        </is>
      </c>
    </row>
    <row r="222" ht="48" customHeight="1" s="668">
      <c r="A222" s="684">
        <f>$C$4&amp;"-"&amp;TEXT(COUNTA($D$12:D222),"00")</f>
        <v/>
      </c>
      <c r="B222" s="687" t="n"/>
      <c r="C222" s="685" t="inlineStr">
        <is>
          <t>Kiểm tra để trống loại gói khi lưu</t>
        </is>
      </c>
      <c r="D222" s="685" t="inlineStr">
        <is>
          <t>ĐK: Vào từ button Thêm gói cước chung
1. Không chọn Loại gói cước
2. Click Lưu</t>
        </is>
      </c>
      <c r="E222" s="685" t="inlineStr">
        <is>
          <t>2. Hiển thị lỗi bắt buộc, không lưu</t>
        </is>
      </c>
      <c r="F222" s="683" t="n"/>
      <c r="G222" s="686" t="inlineStr">
        <is>
          <t>24/09/2026</t>
        </is>
      </c>
      <c r="H222" s="683" t="n"/>
      <c r="I222" s="683" t="n"/>
      <c r="J222" s="683" t="n"/>
      <c r="K222" s="683" t="n"/>
      <c r="L222" s="683" t="n"/>
      <c r="M222" s="683" t="inlineStr">
        <is>
          <t>Mục QL gói cước - UC2 tạo mới gói cước STT 13 - SRS chưa nêu message, Cần BA confirm</t>
        </is>
      </c>
    </row>
    <row r="223" ht="48" customHeight="1" s="668">
      <c r="A223" s="684">
        <f>$C$4&amp;"-"&amp;TEXT(COUNTA($D$12:D223),"00")</f>
        <v/>
      </c>
      <c r="B223" s="687" t="n"/>
      <c r="C223" s="685" t="inlineStr">
        <is>
          <t>Kiểm tra đổi loại gói cước</t>
        </is>
      </c>
      <c r="D223" s="685" t="inlineStr">
        <is>
          <t>1. Chọn loại gói A
2. Đổi sang loại gói B</t>
        </is>
      </c>
      <c r="E223" s="685" t="inlineStr">
        <is>
          <t>2. Danh sách tính năng thay đổi theo loại gói B, tham số đã nhập của loại gói A bị xoá</t>
        </is>
      </c>
      <c r="F223" s="683" t="n"/>
      <c r="G223" s="686" t="inlineStr">
        <is>
          <t>24/09/2026</t>
        </is>
      </c>
      <c r="H223" s="683" t="n"/>
      <c r="I223" s="683" t="n"/>
      <c r="J223" s="683" t="n"/>
      <c r="K223" s="683" t="n"/>
      <c r="L223" s="683" t="n"/>
      <c r="M223" s="683" t="inlineStr">
        <is>
          <t>Mục QL gói cước - UC2 tạo mới gói cước STT 13 - Cần BA confirm</t>
        </is>
      </c>
    </row>
    <row r="224" ht="48" customHeight="1" s="668">
      <c r="A224" s="684">
        <f>$C$4&amp;"-"&amp;TEXT(COUNTA($D$12:D224),"00")</f>
        <v/>
      </c>
      <c r="B224" s="678" t="n"/>
      <c r="C224" s="685" t="inlineStr">
        <is>
          <t>Kiểm tra sửa Loại gói cước khi vào từ dòng cha</t>
        </is>
      </c>
      <c r="D224" s="685" t="inlineStr">
        <is>
          <t>ĐK: Vào từ "+ Thêm gói cước" dòng cha
1. Click trường Loại gói cước</t>
        </is>
      </c>
      <c r="E224" s="685" t="inlineStr">
        <is>
          <t>1. Trường hiển thị read-only (nền xám) theo design, không đổi được</t>
        </is>
      </c>
      <c r="F224" s="683" t="n"/>
      <c r="G224" s="686" t="inlineStr">
        <is>
          <t>24/09/2026</t>
        </is>
      </c>
      <c r="H224" s="683" t="n"/>
      <c r="I224" s="683" t="n"/>
      <c r="J224" s="683" t="n"/>
      <c r="K224" s="683" t="n"/>
      <c r="L224" s="683" t="n"/>
      <c r="M224" s="683" t="inlineStr">
        <is>
          <t>Mục QL gói cước - UC2 tạo mới gói cước STT 13 - Design nền xám - Cần BA confirm</t>
        </is>
      </c>
    </row>
    <row r="225" ht="32" customHeight="1" s="668">
      <c r="A225" s="684">
        <f>$C$4&amp;"-"&amp;TEXT(COUNTA($D$12:D225),"00")</f>
        <v/>
      </c>
      <c r="B225" s="685" t="inlineStr">
        <is>
          <t>Kiểm tra Danh sách tính năng</t>
        </is>
      </c>
      <c r="C225" s="685" t="inlineStr">
        <is>
          <t>Kiểm tra các cột danh sách tính năng</t>
        </is>
      </c>
      <c r="D225" s="685" t="inlineStr">
        <is>
          <t>1. Kiểm tra bảng Danh sách tính năng</t>
        </is>
      </c>
      <c r="E225" s="685" t="inlineStr">
        <is>
          <t>1. Hiển thị các cột: STT, Mã tính năng, Tên tính năng, Nhóm tính năng, Tên tham số</t>
        </is>
      </c>
      <c r="F225" s="683" t="n"/>
      <c r="G225" s="686" t="inlineStr">
        <is>
          <t>24/09/2026</t>
        </is>
      </c>
      <c r="H225" s="683" t="n"/>
      <c r="I225" s="683" t="n"/>
      <c r="J225" s="683" t="n"/>
      <c r="K225" s="683" t="n"/>
      <c r="L225" s="683" t="n"/>
      <c r="M225" s="683" t="inlineStr">
        <is>
          <t>Mục QL gói cước - UC2 tạo mới gói cước STT 14-18</t>
        </is>
      </c>
    </row>
    <row r="226" ht="48" customHeight="1" s="668">
      <c r="A226" s="684">
        <f>$C$4&amp;"-"&amp;TEXT(COUNTA($D$12:D226),"00")</f>
        <v/>
      </c>
      <c r="B226" s="687" t="n"/>
      <c r="C226" s="685" t="inlineStr">
        <is>
          <t>Kiểm tra danh sách tính năng theo loại gói</t>
        </is>
      </c>
      <c r="D226" s="685" t="inlineStr">
        <is>
          <t>1. Đối chiếu danh sách tính năng với cấu hình loại gói tại Quản lý loại gói cước</t>
        </is>
      </c>
      <c r="E226" s="685" t="inlineStr">
        <is>
          <t>1. Hiển thị đủ tất cả tính năng thuộc loại gói, sắp xếp tăng dần theo STT hiển thị</t>
        </is>
      </c>
      <c r="F226" s="683" t="n"/>
      <c r="G226" s="686" t="inlineStr">
        <is>
          <t>24/09/2026</t>
        </is>
      </c>
      <c r="H226" s="683" t="n"/>
      <c r="I226" s="683" t="n"/>
      <c r="J226" s="683" t="n"/>
      <c r="K226" s="683" t="n"/>
      <c r="L226" s="683" t="n"/>
      <c r="M226" s="683" t="inlineStr">
        <is>
          <t>Mục QL gói cước - UC2 tạo mới gói cước - Danh sách tính năng</t>
        </is>
      </c>
    </row>
    <row r="227" ht="32" customHeight="1" s="668">
      <c r="A227" s="684">
        <f>$C$4&amp;"-"&amp;TEXT(COUNTA($D$12:D227),"00")</f>
        <v/>
      </c>
      <c r="B227" s="687" t="n"/>
      <c r="C227" s="685" t="inlineStr">
        <is>
          <t>Kiểm tra các trường thông tin tính năng read-only</t>
        </is>
      </c>
      <c r="D227" s="685" t="inlineStr">
        <is>
          <t>1. Click vào Mã tính năng, Nhóm tính năng, Tên tính năng, Mô tả</t>
        </is>
      </c>
      <c r="E227" s="685" t="inlineStr">
        <is>
          <t>1. Không cho phép chỉnh sửa</t>
        </is>
      </c>
      <c r="F227" s="683" t="n"/>
      <c r="G227" s="686" t="inlineStr">
        <is>
          <t>24/09/2026</t>
        </is>
      </c>
      <c r="H227" s="683" t="n"/>
      <c r="I227" s="683" t="n"/>
      <c r="J227" s="683" t="n"/>
      <c r="K227" s="683" t="n"/>
      <c r="L227" s="683" t="n"/>
      <c r="M227" s="683" t="inlineStr">
        <is>
          <t>Mục QL gói cước - UC2 tạo mới gói cước STT 14-17</t>
        </is>
      </c>
    </row>
    <row r="228" ht="64" customHeight="1" s="668">
      <c r="A228" s="684">
        <f>$C$4&amp;"-"&amp;TEXT(COUNTA($D$12:D228),"00")</f>
        <v/>
      </c>
      <c r="B228" s="687" t="n"/>
      <c r="C228" s="685" t="inlineStr">
        <is>
          <t>Kiểm tra hiển thị Mô tả tính năng</t>
        </is>
      </c>
      <c r="D228" s="685" t="inlineStr">
        <is>
          <t>1. Kiểm tra Mô tả tính năng có nội dung dài</t>
        </is>
      </c>
      <c r="E228" s="685" t="inlineStr">
        <is>
          <t>1. Hiển thị full mô tả, không cắt</t>
        </is>
      </c>
      <c r="F228" s="683" t="n"/>
      <c r="G228" s="686" t="inlineStr">
        <is>
          <t>24/09/2026</t>
        </is>
      </c>
      <c r="H228" s="683" t="n"/>
      <c r="I228" s="683" t="n"/>
      <c r="J228" s="683" t="n"/>
      <c r="K228" s="683" t="n"/>
      <c r="L228" s="683" t="n"/>
      <c r="M228" s="683" t="inlineStr">
        <is>
          <t>Mục QL gói cước - UC2 tạo mới gói cước STT 17 - Design không có cột Mô tả - Cần BA confirm</t>
        </is>
      </c>
    </row>
    <row r="229" ht="32" customHeight="1" s="668">
      <c r="A229" s="684">
        <f>$C$4&amp;"-"&amp;TEXT(COUNTA($D$12:D229),"00")</f>
        <v/>
      </c>
      <c r="B229" s="678" t="n"/>
      <c r="C229" s="685" t="inlineStr">
        <is>
          <t>Kiểm tra cuộn ngang khi tính năng có nhiều tham số</t>
        </is>
      </c>
      <c r="D229" s="685" t="inlineStr">
        <is>
          <t>1. Cuộn ngang bảng tính năng</t>
        </is>
      </c>
      <c r="E229" s="685" t="inlineStr">
        <is>
          <t>1. Hiển thị đủ các ô tham số, không vỡ layout</t>
        </is>
      </c>
      <c r="F229" s="683" t="n"/>
      <c r="G229" s="686" t="inlineStr">
        <is>
          <t>24/09/2026</t>
        </is>
      </c>
      <c r="H229" s="683" t="n"/>
      <c r="I229" s="683" t="n"/>
      <c r="J229" s="683" t="n"/>
      <c r="K229" s="683" t="n"/>
      <c r="L229" s="683" t="n"/>
      <c r="M229" s="683" t="inlineStr">
        <is>
          <t>Theo design</t>
        </is>
      </c>
    </row>
    <row r="230" ht="32" customHeight="1" s="668">
      <c r="A230" s="684">
        <f>$C$4&amp;"-"&amp;TEXT(COUNTA($D$12:D230),"00")</f>
        <v/>
      </c>
      <c r="B230" s="685" t="inlineStr">
        <is>
          <t>Kiểm tra trường Tham số</t>
        </is>
      </c>
      <c r="C230" s="685" t="inlineStr">
        <is>
          <t>Kiểm tra label ô tham số</t>
        </is>
      </c>
      <c r="D230" s="685" t="inlineStr">
        <is>
          <t>1. Kiểm tra label các ô tham số</t>
        </is>
      </c>
      <c r="E230" s="685" t="inlineStr">
        <is>
          <t>1. Label = Tên tham số + Đơn vị tính, VD "Số cộng đồng (ĐVT: Cộng đồng) *"</t>
        </is>
      </c>
      <c r="F230" s="683" t="n"/>
      <c r="G230" s="686" t="inlineStr">
        <is>
          <t>24/09/2026</t>
        </is>
      </c>
      <c r="H230" s="683" t="n"/>
      <c r="I230" s="683" t="n"/>
      <c r="J230" s="683" t="n"/>
      <c r="K230" s="683" t="n"/>
      <c r="L230" s="683" t="n"/>
      <c r="M230" s="683" t="inlineStr">
        <is>
          <t>Mục QL gói cước - UC2 tạo mới gói cước STT 18</t>
        </is>
      </c>
    </row>
    <row r="231" ht="32" customHeight="1" s="668">
      <c r="A231" s="684">
        <f>$C$4&amp;"-"&amp;TEXT(COUNTA($D$12:D231),"00")</f>
        <v/>
      </c>
      <c r="B231" s="687" t="n"/>
      <c r="C231" s="685" t="inlineStr">
        <is>
          <t>Kiểm tra thứ tự tham số trong 1 tính năng</t>
        </is>
      </c>
      <c r="D231" s="685" t="inlineStr">
        <is>
          <t>ĐK: Tính năng có nhiều tham số
1. Kiểm tra thứ tự</t>
        </is>
      </c>
      <c r="E231" s="685" t="inlineStr">
        <is>
          <t>1. Tham số sắp xếp theo tên A-Z</t>
        </is>
      </c>
      <c r="F231" s="683" t="n"/>
      <c r="G231" s="686" t="inlineStr">
        <is>
          <t>24/09/2026</t>
        </is>
      </c>
      <c r="H231" s="683" t="n"/>
      <c r="I231" s="683" t="n"/>
      <c r="J231" s="683" t="n"/>
      <c r="K231" s="683" t="n"/>
      <c r="L231" s="683" t="n"/>
      <c r="M231" s="683" t="inlineStr">
        <is>
          <t>Mục QL gói cước - UC2 tạo mới gói cước STT 18</t>
        </is>
      </c>
    </row>
    <row r="232" ht="48" customHeight="1" s="668">
      <c r="A232" s="684">
        <f>$C$4&amp;"-"&amp;TEXT(COUNTA($D$12:D232),"00")</f>
        <v/>
      </c>
      <c r="B232" s="687" t="n"/>
      <c r="C232" s="685" t="inlineStr">
        <is>
          <t>Kiểm tra tính năng không có tham số</t>
        </is>
      </c>
      <c r="D232" s="685" t="inlineStr">
        <is>
          <t>ĐK: Loại gói có tính năng không có tham số
1. Kiểm tra dòng tính năng đó</t>
        </is>
      </c>
      <c r="E232" s="685" t="inlineStr">
        <is>
          <t>1. Không hiển thị ô nhập tham số</t>
        </is>
      </c>
      <c r="F232" s="683" t="n"/>
      <c r="G232" s="686" t="inlineStr">
        <is>
          <t>24/09/2026</t>
        </is>
      </c>
      <c r="H232" s="683" t="n"/>
      <c r="I232" s="683" t="n"/>
      <c r="J232" s="683" t="n"/>
      <c r="K232" s="683" t="n"/>
      <c r="L232" s="683" t="n"/>
      <c r="M232" s="683" t="inlineStr">
        <is>
          <t>Mục QL gói cước - UC2 tạo mới gói cước - Danh sách tính năng</t>
        </is>
      </c>
    </row>
    <row r="233" ht="32" customHeight="1" s="668">
      <c r="A233" s="684">
        <f>$C$4&amp;"-"&amp;TEXT(COUNTA($D$12:D233),"00")</f>
        <v/>
      </c>
      <c r="B233" s="687" t="n"/>
      <c r="C233" s="685" t="inlineStr">
        <is>
          <t>Kiểm tra để trống tham số</t>
        </is>
      </c>
      <c r="D233" s="685" t="inlineStr">
        <is>
          <t>1. Để trống 1 ô tham số
2. Click Lưu</t>
        </is>
      </c>
      <c r="E233" s="685" t="inlineStr">
        <is>
          <t>2. Hiển thị lỗi inline: "Vui lòng nhập thông tin" tại ô trống, không lưu</t>
        </is>
      </c>
      <c r="F233" s="683" t="n"/>
      <c r="G233" s="686" t="inlineStr">
        <is>
          <t>24/09/2026</t>
        </is>
      </c>
      <c r="H233" s="683" t="n"/>
      <c r="I233" s="683" t="n"/>
      <c r="J233" s="683" t="n"/>
      <c r="K233" s="683" t="n"/>
      <c r="L233" s="683" t="n"/>
      <c r="M233" s="683" t="inlineStr">
        <is>
          <t>Mục QL gói cước - UC2 tạo mới gói cước STT 18, BR03</t>
        </is>
      </c>
    </row>
    <row r="234" ht="80" customHeight="1" s="668">
      <c r="A234" s="684">
        <f>$C$4&amp;"-"&amp;TEXT(COUNTA($D$12:D234),"00")</f>
        <v/>
      </c>
      <c r="B234" s="687" t="n"/>
      <c r="C234" s="685" t="inlineStr">
        <is>
          <t>Kiểm tra tham số loại Tiêu hao / Giới hạn đồng thời / Mã đối tác</t>
        </is>
      </c>
      <c r="D234" s="685" t="inlineStr">
        <is>
          <t>1. Nhập giá trị hợp lệ theo rule tham số
2. Click Lưu</t>
        </is>
      </c>
      <c r="E234" s="685" t="inlineStr">
        <is>
          <t>2. Lưu thành công, quota_value lưu đúng giá trị</t>
        </is>
      </c>
      <c r="F234" s="683" t="inlineStr">
        <is>
          <t>11</t>
        </is>
      </c>
      <c r="G234" s="686" t="inlineStr">
        <is>
          <t>24/09/2026</t>
        </is>
      </c>
      <c r="H234" s="683" t="n"/>
      <c r="I234" s="683" t="n"/>
      <c r="J234" s="683" t="n"/>
      <c r="K234" s="683" t="n"/>
      <c r="L234" s="683" t="n"/>
      <c r="M234" s="683" t="inlineStr">
        <is>
          <t>Mục QL gói cước - UC2 tạo mới gói cước STT 18 Th1 - Kỹ thuật: Phân vùng tương đương. Rule chi tiết theo Backlog-Gói cước Tammi [Tổng đài]</t>
        </is>
      </c>
    </row>
    <row r="235" ht="80" customHeight="1" s="668">
      <c r="A235" s="684">
        <f>$C$4&amp;"-"&amp;TEXT(COUNTA($D$12:D235),"00")</f>
        <v/>
      </c>
      <c r="B235" s="687" t="n"/>
      <c r="C235" s="685" t="inlineStr">
        <is>
          <t>Kiểm tra tham số loại On/off</t>
        </is>
      </c>
      <c r="D235" s="685" t="inlineStr">
        <is>
          <t>1. Chọn giá trị Có/Không cho tham số on/off
2. Click Lưu</t>
        </is>
      </c>
      <c r="E235" s="685" t="inlineStr">
        <is>
          <t>2. Lưu thành công, quota_value = CÓ/KHÔNG</t>
        </is>
      </c>
      <c r="F235" s="683" t="n"/>
      <c r="G235" s="686" t="inlineStr">
        <is>
          <t>24/09/2026</t>
        </is>
      </c>
      <c r="H235" s="683" t="n"/>
      <c r="I235" s="683" t="n"/>
      <c r="J235" s="683" t="n"/>
      <c r="K235" s="683" t="n"/>
      <c r="L235" s="683" t="n"/>
      <c r="M235" s="683" t="inlineStr">
        <is>
          <t>Mục QL gói cước - UC2 tạo mới gói cước STT 18 Th2 - Kỹ thuật: Phân vùng tương đương. SRS chưa nêu dạng control, Cần BA confirm</t>
        </is>
      </c>
    </row>
    <row r="236" ht="48" customHeight="1" s="668">
      <c r="A236" s="684">
        <f>$C$4&amp;"-"&amp;TEXT(COUNTA($D$12:D236),"00")</f>
        <v/>
      </c>
      <c r="B236" s="678" t="n"/>
      <c r="C236" s="685" t="inlineStr">
        <is>
          <t>Kiểm tra nhập tham số không hợp lệ</t>
        </is>
      </c>
      <c r="D236" s="685" t="inlineStr">
        <is>
          <t>1. Nhập chữ, số âm, số vượt DECIMAL(12,2) vào ô tham số</t>
        </is>
      </c>
      <c r="E236" s="685" t="inlineStr">
        <is>
          <t>1. Chặn không cho nhập / báo lỗi theo rule tham số</t>
        </is>
      </c>
      <c r="F236" s="683" t="inlineStr">
        <is>
          <t>abc / -1 / 10000000000.00</t>
        </is>
      </c>
      <c r="G236" s="686" t="inlineStr">
        <is>
          <t>24/09/2026</t>
        </is>
      </c>
      <c r="H236" s="683" t="n"/>
      <c r="I236" s="683" t="n"/>
      <c r="J236" s="683" t="n"/>
      <c r="K236" s="683" t="n"/>
      <c r="L236" s="683" t="n"/>
      <c r="M236" s="683" t="inlineStr">
        <is>
          <t>Mục QL gói cước - UC2 tạo mới gói cước STT 18 - Kỹ thuật: Phân tích giá trị biên</t>
        </is>
      </c>
    </row>
    <row r="237" ht="20" customHeight="1" s="668">
      <c r="A237" s="682" t="inlineStr">
        <is>
          <t>Kiểm tra chức năng</t>
        </is>
      </c>
      <c r="B237" s="672" t="n"/>
      <c r="C237" s="672" t="n"/>
      <c r="D237" s="672" t="n"/>
      <c r="E237" s="672" t="n"/>
      <c r="F237" s="672" t="n"/>
      <c r="G237" s="672" t="n"/>
      <c r="H237" s="672" t="n"/>
      <c r="I237" s="672" t="n"/>
      <c r="J237" s="672" t="n"/>
      <c r="K237" s="673" t="n"/>
      <c r="L237" s="683" t="n"/>
      <c r="M237" s="683" t="n"/>
    </row>
    <row r="238" ht="80" customHeight="1" s="668">
      <c r="A238" s="684">
        <f>$C$4&amp;"-"&amp;TEXT(COUNTA($D$12:D238),"00")</f>
        <v/>
      </c>
      <c r="B238" s="685" t="inlineStr">
        <is>
          <t>Lưu gói cước</t>
        </is>
      </c>
      <c r="C238" s="685" t="inlineStr">
        <is>
          <t>Kiểm tra tạo mới gói cước thành công với dữ liệu hợp lệ</t>
        </is>
      </c>
      <c r="D238" s="685" t="inlineStr">
        <is>
          <t>1. Nhập đủ các trường bắt buộc hợp lệ
2. Nhập đủ tham số tính năng
3. Click Lưu</t>
        </is>
      </c>
      <c r="E238" s="685" t="inlineStr">
        <is>
          <t>3. 
- Hiển thị popup: icon thành công, tiêu đề "Thêm mới gói cước thành công", nội dung "Bạn đã thêm mới gói cước [Mã gói cước vừa tạo]", button Đóng, icon X
- Gói cước được lưu vào CSDL</t>
        </is>
      </c>
      <c r="F238" s="683" t="inlineStr">
        <is>
          <t>Mã: AUTO_GC_&lt;timestamp&gt;</t>
        </is>
      </c>
      <c r="G238" s="686" t="inlineStr">
        <is>
          <t>24/09/2026</t>
        </is>
      </c>
      <c r="H238" s="683" t="n"/>
      <c r="I238" s="683" t="n"/>
      <c r="J238" s="683" t="n"/>
      <c r="K238" s="683" t="n"/>
      <c r="L238" s="683" t="n"/>
      <c r="M238" s="683" t="inlineStr">
        <is>
          <t>Mục QL gói cước - UC2 tạo mới gói cước Basic flow, Popup thông báo</t>
        </is>
      </c>
    </row>
    <row r="239" ht="48" customHeight="1" s="668">
      <c r="A239" s="684">
        <f>$C$4&amp;"-"&amp;TEXT(COUNTA($D$12:D239),"00")</f>
        <v/>
      </c>
      <c r="B239" s="687" t="n"/>
      <c r="C239" s="685" t="inlineStr">
        <is>
          <t>Kiểm tra trạng thái gói sau khi tạo</t>
        </is>
      </c>
      <c r="D239" s="685" t="inlineStr">
        <is>
          <t>1. Tạo gói thành công
2. Kiểm tra gói trên danh sách</t>
        </is>
      </c>
      <c r="E239" s="685" t="inlineStr">
        <is>
          <t>2. Gói cước có trạng thái Nháp (DRAFT)</t>
        </is>
      </c>
      <c r="F239" s="683" t="n"/>
      <c r="G239" s="686" t="inlineStr">
        <is>
          <t>24/09/2026</t>
        </is>
      </c>
      <c r="H239" s="683" t="n"/>
      <c r="I239" s="683" t="n"/>
      <c r="J239" s="683" t="n"/>
      <c r="K239" s="683" t="n"/>
      <c r="L239" s="683" t="n"/>
      <c r="M239" s="683" t="inlineStr">
        <is>
          <t>Mục QL gói cước - UC2 tạo mới gói cước BR01 - Kỹ thuật: Sơ đồ chuyển trạng thái</t>
        </is>
      </c>
    </row>
    <row r="240" ht="112" customHeight="1" s="668">
      <c r="A240" s="684">
        <f>$C$4&amp;"-"&amp;TEXT(COUNTA($D$12:D240),"00")</f>
        <v/>
      </c>
      <c r="B240" s="687" t="n"/>
      <c r="C240" s="685" t="inlineStr">
        <is>
          <t>Kiểm tra dữ liệu gói cước lưu vào CSDL</t>
        </is>
      </c>
      <c r="D240" s="685" t="inlineStr">
        <is>
          <t>1. Tạo gói thành công
2. Kiểm tra bản ghi plan trong DB</t>
        </is>
      </c>
      <c r="E240" s="685" t="inlineStr">
        <is>
          <t>2. Lưu đúng: plan_type_id, plan_code, description, billing_cycle_value/unit, original_price, currency = VND, plan_role, marketing_tag, distribution_channels, activation_mode, start_time/end_time hoặc Sale_status, is_renew = FALSE, status = DRAFT, created_by/at, updated_by/at</t>
        </is>
      </c>
      <c r="F240" s="683" t="n"/>
      <c r="G240" s="686" t="inlineStr">
        <is>
          <t>24/09/2026</t>
        </is>
      </c>
      <c r="H240" s="683" t="n"/>
      <c r="I240" s="683" t="n"/>
      <c r="J240" s="683" t="n"/>
      <c r="K240" s="683" t="n"/>
      <c r="L240" s="683" t="n"/>
      <c r="M240" s="683" t="inlineStr">
        <is>
          <t>Mục QL gói cước - UC2 tạo mới gói cước - c. Dữ liệu cần lưu</t>
        </is>
      </c>
    </row>
    <row r="241" ht="48" customHeight="1" s="668">
      <c r="A241" s="684">
        <f>$C$4&amp;"-"&amp;TEXT(COUNTA($D$12:D241),"00")</f>
        <v/>
      </c>
      <c r="B241" s="687" t="n"/>
      <c r="C241" s="685" t="inlineStr">
        <is>
          <t>Kiểm tra dữ liệu quyền lợi (tính năng + tham số) lưu vào CSDL</t>
        </is>
      </c>
      <c r="D241" s="685" t="inlineStr">
        <is>
          <t>1. Tạo gói thành công
2. Kiểm tra bảng quyền lợi</t>
        </is>
      </c>
      <c r="E241" s="685" t="inlineStr">
        <is>
          <t>2. Mỗi tham số sinh 1 bản ghi: plan_id, feature_id, parameter_id, quota_value đúng giá trị đã nhập</t>
        </is>
      </c>
      <c r="F241" s="683" t="n"/>
      <c r="G241" s="686" t="inlineStr">
        <is>
          <t>24/09/2026</t>
        </is>
      </c>
      <c r="H241" s="683" t="n"/>
      <c r="I241" s="683" t="n"/>
      <c r="J241" s="683" t="n"/>
      <c r="K241" s="683" t="n"/>
      <c r="L241" s="683" t="n"/>
      <c r="M241" s="683" t="inlineStr">
        <is>
          <t>Mục QL gói cước - UC2 tạo mới gói cước - Bản ghi quyền lợi gói cước</t>
        </is>
      </c>
    </row>
    <row r="242" ht="32" customHeight="1" s="668">
      <c r="A242" s="684">
        <f>$C$4&amp;"-"&amp;TEXT(COUNTA($D$12:D242),"00")</f>
        <v/>
      </c>
      <c r="B242" s="687" t="n"/>
      <c r="C242" s="685" t="inlineStr">
        <is>
          <t>Kiểm tra lưu thiếu nhiều trường bắt buộc</t>
        </is>
      </c>
      <c r="D242" s="685" t="inlineStr">
        <is>
          <t>1. Để trống tất cả trường
2. Click Lưu</t>
        </is>
      </c>
      <c r="E242" s="685" t="inlineStr">
        <is>
          <t>2. Hiển thị lỗi inline tại tất cả trường bắt buộc cùng lúc, focus về trường lỗi đầu tiên</t>
        </is>
      </c>
      <c r="F242" s="683" t="n"/>
      <c r="G242" s="686" t="inlineStr">
        <is>
          <t>24/09/2026</t>
        </is>
      </c>
      <c r="H242" s="683" t="n"/>
      <c r="I242" s="683" t="n"/>
      <c r="J242" s="683" t="n"/>
      <c r="K242" s="683" t="n"/>
      <c r="L242" s="683" t="n"/>
      <c r="M242" s="683" t="inlineStr">
        <is>
          <t>Mục QL gói cước - UC2 tạo mới gói cước Exception 5a</t>
        </is>
      </c>
    </row>
    <row r="243" ht="32" customHeight="1" s="668">
      <c r="A243" s="684">
        <f>$C$4&amp;"-"&amp;TEXT(COUNTA($D$12:D243),"00")</f>
        <v/>
      </c>
      <c r="B243" s="687" t="n"/>
      <c r="C243" s="685" t="inlineStr">
        <is>
          <t>Kiểm tra click button Lưu liên tục</t>
        </is>
      </c>
      <c r="D243" s="685" t="inlineStr">
        <is>
          <t>1. Nhập dữ liệu hợp lệ
2. Click Lưu liên tục nhiều lần</t>
        </is>
      </c>
      <c r="E243" s="685" t="inlineStr">
        <is>
          <t>2. Chỉ tạo 1 gói cước, không tạo bản ghi trùng</t>
        </is>
      </c>
      <c r="F243" s="683" t="n"/>
      <c r="G243" s="686" t="inlineStr">
        <is>
          <t>24/09/2026</t>
        </is>
      </c>
      <c r="H243" s="683" t="n"/>
      <c r="I243" s="683" t="n"/>
      <c r="J243" s="683" t="n"/>
      <c r="K243" s="683" t="n"/>
      <c r="L243" s="683" t="n"/>
      <c r="M243" s="683" t="inlineStr">
        <is>
          <t>NFR 1.3 - chống gửi trùng</t>
        </is>
      </c>
    </row>
    <row r="244" ht="64" customHeight="1" s="668">
      <c r="A244" s="684">
        <f>$C$4&amp;"-"&amp;TEXT(COUNTA($D$12:D244),"00")</f>
        <v/>
      </c>
      <c r="B244" s="687" t="n"/>
      <c r="C244" s="685" t="inlineStr">
        <is>
          <t>Kiểm tra gói mới hiển thị trên danh sách</t>
        </is>
      </c>
      <c r="D244" s="685" t="inlineStr">
        <is>
          <t>1. Tạo gói thành công
2. Quay lại danh sách, mở rộng loại gói tương ứng</t>
        </is>
      </c>
      <c r="E244" s="685" t="inlineStr">
        <is>
          <t>2. 
- Gói mới hiển thị trong bảng con đúng loại gói, đúng vị trí theo chu kỳ
- Badge số lượng tăng 1
- Người cập nhật = Admin tạo</t>
        </is>
      </c>
      <c r="F244" s="683" t="n"/>
      <c r="G244" s="686" t="inlineStr">
        <is>
          <t>24/09/2026</t>
        </is>
      </c>
      <c r="H244" s="683" t="n"/>
      <c r="I244" s="683" t="n"/>
      <c r="J244" s="683" t="n"/>
      <c r="K244" s="683" t="n"/>
      <c r="L244" s="683" t="n"/>
      <c r="M244" s="683" t="inlineStr">
        <is>
          <t>Mục QL gói cước - UC danh sách gói cước STT 9; Mục QL gói cước - UC2 tạo mới gói cước</t>
        </is>
      </c>
    </row>
    <row r="245" ht="32" customHeight="1" s="668">
      <c r="A245" s="684">
        <f>$C$4&amp;"-"&amp;TEXT(COUNTA($D$12:D245),"00")</f>
        <v/>
      </c>
      <c r="B245" s="678" t="n"/>
      <c r="C245" s="685" t="inlineStr">
        <is>
          <t>Kiểm tra lưu vết audit</t>
        </is>
      </c>
      <c r="D245" s="685" t="inlineStr">
        <is>
          <t>1. Tạo gói thành công
2. Kiểm tra log kiểm toán</t>
        </is>
      </c>
      <c r="E245" s="685" t="inlineStr">
        <is>
          <t>2. Ghi log: người tạo, thời gian, IP, giá trị mới</t>
        </is>
      </c>
      <c r="F245" s="683" t="n"/>
      <c r="G245" s="686" t="inlineStr">
        <is>
          <t>24/09/2026</t>
        </is>
      </c>
      <c r="H245" s="683" t="n"/>
      <c r="I245" s="683" t="n"/>
      <c r="J245" s="683" t="n"/>
      <c r="K245" s="683" t="n"/>
      <c r="L245" s="683" t="n"/>
      <c r="M245" s="683" t="inlineStr">
        <is>
          <t>NFR 3.3</t>
        </is>
      </c>
    </row>
    <row r="246" ht="80" customHeight="1" s="668">
      <c r="A246" s="684">
        <f>$C$4&amp;"-"&amp;TEXT(COUNTA($D$12:D246),"00")</f>
        <v/>
      </c>
      <c r="B246" s="685" t="inlineStr">
        <is>
          <t>Popup thông báo thành công</t>
        </is>
      </c>
      <c r="C246" s="685" t="inlineStr">
        <is>
          <t>Kiểm tra click button Đóng</t>
        </is>
      </c>
      <c r="D246" s="685" t="inlineStr">
        <is>
          <t>1. Tạo gói thành công
2. Click Đóng</t>
        </is>
      </c>
      <c r="E246" s="685" t="inlineStr">
        <is>
          <t>2. Đóng popup, chuyển hướng về màn hình Danh sách gói cước</t>
        </is>
      </c>
      <c r="F246" s="683" t="n"/>
      <c r="G246" s="686" t="inlineStr">
        <is>
          <t>24/09/2026</t>
        </is>
      </c>
      <c r="H246" s="683" t="n"/>
      <c r="I246" s="683" t="n"/>
      <c r="J246" s="683" t="n"/>
      <c r="K246" s="683" t="n"/>
      <c r="L246" s="683" t="n"/>
      <c r="M246" s="683" t="inlineStr">
        <is>
          <t>Mục QL gói cước - UC2 tạo mới gói cước Popup STT 3 - Basic flow B7 ghi điều hướng về màn Chi tiết gói cước, mâu thuẫn - Cần BA confirm</t>
        </is>
      </c>
    </row>
    <row r="247" ht="32" customHeight="1" s="668">
      <c r="A247" s="684">
        <f>$C$4&amp;"-"&amp;TEXT(COUNTA($D$12:D247),"00")</f>
        <v/>
      </c>
      <c r="B247" s="678" t="n"/>
      <c r="C247" s="685" t="inlineStr">
        <is>
          <t>Kiểm tra click icon X</t>
        </is>
      </c>
      <c r="D247" s="685" t="inlineStr">
        <is>
          <t>1. Tạo gói thành công
2. Click icon X góc trên</t>
        </is>
      </c>
      <c r="E247" s="685" t="inlineStr">
        <is>
          <t>2. Tương tự button Đóng</t>
        </is>
      </c>
      <c r="F247" s="683" t="n"/>
      <c r="G247" s="686" t="inlineStr">
        <is>
          <t>24/09/2026</t>
        </is>
      </c>
      <c r="H247" s="683" t="n"/>
      <c r="I247" s="683" t="n"/>
      <c r="J247" s="683" t="n"/>
      <c r="K247" s="683" t="n"/>
      <c r="L247" s="683" t="n"/>
      <c r="M247" s="683" t="inlineStr">
        <is>
          <t>Mục QL gói cước - UC2 tạo mới gói cước Popup STT 4</t>
        </is>
      </c>
    </row>
    <row r="248" ht="64" customHeight="1" s="668">
      <c r="A248" s="684">
        <f>$C$4&amp;"-"&amp;TEXT(COUNTA($D$12:D248),"00")</f>
        <v/>
      </c>
      <c r="B248" s="685" t="inlineStr">
        <is>
          <t>Button Back</t>
        </is>
      </c>
      <c r="C248" s="685" t="inlineStr">
        <is>
          <t>Kiểm tra click Back khi đã nhập dữ liệu</t>
        </is>
      </c>
      <c r="D248" s="685" t="inlineStr">
        <is>
          <t>1. Nhập một số trường
2. Click icon Back (←)</t>
        </is>
      </c>
      <c r="E248" s="685" t="inlineStr">
        <is>
          <t>2. Hiển thị popup xác nhận: tiêu đề "Huỷ tạo mới gói cước", nội dung "Các thông tin đã nhập sẽ không được lưu. Bạn có chắc chắn muốn thoát?", button Quay lại, Xác nhận</t>
        </is>
      </c>
      <c r="F248" s="683" t="n"/>
      <c r="G248" s="686" t="inlineStr">
        <is>
          <t>24/09/2026</t>
        </is>
      </c>
      <c r="H248" s="683" t="n"/>
      <c r="I248" s="683" t="n"/>
      <c r="J248" s="683" t="n"/>
      <c r="K248" s="683" t="n"/>
      <c r="L248" s="683" t="n"/>
      <c r="M248" s="683" t="inlineStr">
        <is>
          <t>Mục QL gói cước - UC2 tạo mới gói cước AF01, Popup confirm huỷ</t>
        </is>
      </c>
    </row>
    <row r="249" ht="48" customHeight="1" s="668">
      <c r="A249" s="684">
        <f>$C$4&amp;"-"&amp;TEXT(COUNTA($D$12:D249),"00")</f>
        <v/>
      </c>
      <c r="B249" s="687" t="n"/>
      <c r="C249" s="685" t="inlineStr">
        <is>
          <t>Kiểm tra click Back khi chưa nhập dữ liệu</t>
        </is>
      </c>
      <c r="D249" s="685" t="inlineStr">
        <is>
          <t>1. Không nhập gì
2. Click icon Back</t>
        </is>
      </c>
      <c r="E249" s="685" t="inlineStr">
        <is>
          <t>2. Hiển thị popup xác nhận huỷ (AF01 áp dụng tại bất kỳ bước nào)</t>
        </is>
      </c>
      <c r="F249" s="683" t="n"/>
      <c r="G249" s="686" t="inlineStr">
        <is>
          <t>24/09/2026</t>
        </is>
      </c>
      <c r="H249" s="683" t="n"/>
      <c r="I249" s="683" t="n"/>
      <c r="J249" s="683" t="n"/>
      <c r="K249" s="683" t="n"/>
      <c r="L249" s="683" t="n"/>
      <c r="M249" s="683" t="inlineStr">
        <is>
          <t>Mục QL gói cước - UC2 tạo mới gói cước AF01 - Cần BA confirm</t>
        </is>
      </c>
    </row>
    <row r="250" ht="48" customHeight="1" s="668">
      <c r="A250" s="684">
        <f>$C$4&amp;"-"&amp;TEXT(COUNTA($D$12:D250),"00")</f>
        <v/>
      </c>
      <c r="B250" s="687" t="n"/>
      <c r="C250" s="685" t="inlineStr">
        <is>
          <t>Kiểm tra click Xác nhận trên popup huỷ</t>
        </is>
      </c>
      <c r="D250" s="685" t="inlineStr">
        <is>
          <t>1. Nhập dữ liệu
2. Click Back
3. Click Xác nhận</t>
        </is>
      </c>
      <c r="E250" s="685" t="inlineStr">
        <is>
          <t>3. Đóng popup, quay về Danh sách gói cước, không lưu dữ liệu, không phát sinh bản ghi mới</t>
        </is>
      </c>
      <c r="F250" s="683" t="n"/>
      <c r="G250" s="686" t="inlineStr">
        <is>
          <t>24/09/2026</t>
        </is>
      </c>
      <c r="H250" s="683" t="n"/>
      <c r="I250" s="683" t="n"/>
      <c r="J250" s="683" t="n"/>
      <c r="K250" s="683" t="n"/>
      <c r="L250" s="683" t="n"/>
      <c r="M250" s="683" t="inlineStr">
        <is>
          <t>Mục QL gói cước - UC2 tạo mới gói cước AF01 - Kỹ thuật: Sơ đồ chuyển trạng thái</t>
        </is>
      </c>
    </row>
    <row r="251" ht="48" customHeight="1" s="668">
      <c r="A251" s="684">
        <f>$C$4&amp;"-"&amp;TEXT(COUNTA($D$12:D251),"00")</f>
        <v/>
      </c>
      <c r="B251" s="687" t="n"/>
      <c r="C251" s="685" t="inlineStr">
        <is>
          <t>Kiểm tra click Quay lại trên popup huỷ</t>
        </is>
      </c>
      <c r="D251" s="685" t="inlineStr">
        <is>
          <t>1. Nhập dữ liệu
2. Click Back
3. Click Quay lại</t>
        </is>
      </c>
      <c r="E251" s="685" t="inlineStr">
        <is>
          <t>3. Đóng popup, ở lại form, dữ liệu đã nhập được giữ nguyên</t>
        </is>
      </c>
      <c r="F251" s="683" t="n"/>
      <c r="G251" s="686" t="inlineStr">
        <is>
          <t>24/09/2026</t>
        </is>
      </c>
      <c r="H251" s="683" t="n"/>
      <c r="I251" s="683" t="n"/>
      <c r="J251" s="683" t="n"/>
      <c r="K251" s="683" t="n"/>
      <c r="L251" s="683" t="n"/>
      <c r="M251" s="683" t="inlineStr">
        <is>
          <t>Mục QL gói cước - UC2 tạo mới gói cước AF01 - Kỹ thuật: Sơ đồ chuyển trạng thái</t>
        </is>
      </c>
    </row>
    <row r="252" ht="32" customHeight="1" s="668">
      <c r="A252" s="684">
        <f>$C$4&amp;"-"&amp;TEXT(COUNTA($D$12:D252),"00")</f>
        <v/>
      </c>
      <c r="B252" s="678" t="n"/>
      <c r="C252" s="685" t="inlineStr">
        <is>
          <t>Kiểm tra dùng nút Back của trình duyệt</t>
        </is>
      </c>
      <c r="D252" s="685" t="inlineStr">
        <is>
          <t>1. Nhập dữ liệu
2. Click Back của trình duyệt</t>
        </is>
      </c>
      <c r="E252" s="685" t="inlineStr">
        <is>
          <t>2. Xử lý tương tự icon Back (hiển thị popup xác nhận huỷ)</t>
        </is>
      </c>
      <c r="F252" s="683" t="n"/>
      <c r="G252" s="686" t="inlineStr">
        <is>
          <t>24/09/2026</t>
        </is>
      </c>
      <c r="H252" s="683" t="n"/>
      <c r="I252" s="683" t="n"/>
      <c r="J252" s="683" t="n"/>
      <c r="K252" s="683" t="n"/>
      <c r="L252" s="683" t="n"/>
      <c r="M252" s="683" t="inlineStr">
        <is>
          <t>SRS chưa mô tả - Cần BA confirm</t>
        </is>
      </c>
    </row>
    <row r="253" ht="48" customHeight="1" s="668">
      <c r="A253" s="684">
        <f>$C$4&amp;"-"&amp;TEXT(COUNTA($D$12:D253),"00")</f>
        <v/>
      </c>
      <c r="B253" s="685" t="inlineStr">
        <is>
          <t>Lỗi mạng / hệ thống</t>
        </is>
      </c>
      <c r="C253" s="685" t="inlineStr">
        <is>
          <t>Kiểm tra lưu khi mất mạng</t>
        </is>
      </c>
      <c r="D253" s="685" t="inlineStr">
        <is>
          <t>1. Nhập dữ liệu hợp lệ
2. Ngắt mạng
3. Click Lưu</t>
        </is>
      </c>
      <c r="E253" s="685" t="inlineStr">
        <is>
          <t>3. Hiển thị toast "Thất bại. Vui lòng kiểm tra lại kết nối.", giữ dữ liệu trên form, cho phép thử lại</t>
        </is>
      </c>
      <c r="F253" s="683" t="n"/>
      <c r="G253" s="686" t="inlineStr">
        <is>
          <t>24/09/2026</t>
        </is>
      </c>
      <c r="H253" s="683" t="n"/>
      <c r="I253" s="683" t="n"/>
      <c r="J253" s="683" t="n"/>
      <c r="K253" s="683" t="n"/>
      <c r="L253" s="683" t="n"/>
      <c r="M253" s="683" t="inlineStr">
        <is>
          <t>Mục QL gói cước - UC2 tạo mới gói cước Exception 7a</t>
        </is>
      </c>
    </row>
    <row r="254" ht="32" customHeight="1" s="668">
      <c r="A254" s="684">
        <f>$C$4&amp;"-"&amp;TEXT(COUNTA($D$12:D254),"00")</f>
        <v/>
      </c>
      <c r="B254" s="687" t="n"/>
      <c r="C254" s="685" t="inlineStr">
        <is>
          <t>Kiểm tra lưu khi API lỗi hệ thống</t>
        </is>
      </c>
      <c r="D254" s="685" t="inlineStr">
        <is>
          <t>ĐK: API tạo gói trả lỗi 500
1. Click Lưu</t>
        </is>
      </c>
      <c r="E254" s="685" t="inlineStr">
        <is>
          <t>1. Hiển thị toast "Hệ thống bận. Vui lòng thử lại sau." kèm mã lỗi, cho phép thử lại</t>
        </is>
      </c>
      <c r="F254" s="683" t="n"/>
      <c r="G254" s="686" t="inlineStr">
        <is>
          <t>24/09/2026</t>
        </is>
      </c>
      <c r="H254" s="683" t="n"/>
      <c r="I254" s="683" t="n"/>
      <c r="J254" s="683" t="n"/>
      <c r="K254" s="683" t="n"/>
      <c r="L254" s="683" t="n"/>
      <c r="M254" s="683" t="inlineStr">
        <is>
          <t>Mục QL gói cước - UC2 tạo mới gói cước Exception 7b</t>
        </is>
      </c>
    </row>
    <row r="255" ht="64" customHeight="1" s="668">
      <c r="A255" s="684">
        <f>$C$4&amp;"-"&amp;TEXT(COUNTA($D$12:D255),"00")</f>
        <v/>
      </c>
      <c r="B255" s="687" t="n"/>
      <c r="C255" s="685" t="inlineStr">
        <is>
          <t>Kiểm tra tranh chấp: 2 admin cùng tạo gói trùng mã</t>
        </is>
      </c>
      <c r="D255" s="685" t="inlineStr">
        <is>
          <t>ĐK: Admin A và B cùng mở form
1. Cả 2 nhập mã "OAPLUS90" và đủ các trường hợp lệ
2. Admin A click Lưu
3. Admin B click Lưu</t>
        </is>
      </c>
      <c r="E255" s="685" t="inlineStr">
        <is>
          <t>2. Admin A tạo gói cước thành công
3. Admin B nhận lỗi inline "Mã gói đã được sử dụng", không tạo gói</t>
        </is>
      </c>
      <c r="F255" s="683" t="n"/>
      <c r="G255" s="686" t="inlineStr">
        <is>
          <t>24/09/2026</t>
        </is>
      </c>
      <c r="H255" s="683" t="n"/>
      <c r="I255" s="683" t="n"/>
      <c r="J255" s="683" t="n"/>
      <c r="K255" s="683" t="n"/>
      <c r="L255" s="683" t="n"/>
      <c r="M255" s="683" t="inlineStr">
        <is>
          <t>Mục QL gói cước - UC2 tạo mới gói cước BR04 - Kỹ thuật: Sơ đồ chuyển trạng thái (tranh chấp)</t>
        </is>
      </c>
    </row>
    <row r="256" ht="48" customHeight="1" s="668">
      <c r="A256" s="684">
        <f>$C$4&amp;"-"&amp;TEXT(COUNTA($D$12:D256),"00")</f>
        <v/>
      </c>
      <c r="B256" s="678" t="n"/>
      <c r="C256" s="685" t="inlineStr">
        <is>
          <t>Kiểm tra tranh chấp: loại gói bị xoá khi đang tạo gói</t>
        </is>
      </c>
      <c r="D256" s="685" t="inlineStr">
        <is>
          <t>ĐK: Đang mở form tạo gói thuộc loại gói A
1. Admin khác xoá loại gói A
2. Click Lưu</t>
        </is>
      </c>
      <c r="E256" s="685" t="inlineStr">
        <is>
          <t>2. Không cho phép lưu, hiển thị thông báo lỗi</t>
        </is>
      </c>
      <c r="F256" s="683" t="n"/>
      <c r="G256" s="686" t="inlineStr">
        <is>
          <t>24/09/2026</t>
        </is>
      </c>
      <c r="H256" s="683" t="n"/>
      <c r="I256" s="683" t="n"/>
      <c r="J256" s="683" t="n"/>
      <c r="K256" s="683" t="n"/>
      <c r="L256" s="683" t="n"/>
      <c r="M256" s="683" t="inlineStr">
        <is>
          <t>Pre-condition 2 - SRS chưa mô tả, Cần BA confirm</t>
        </is>
      </c>
    </row>
    <row r="257" ht="48" customHeight="1" s="668">
      <c r="A257" s="684">
        <f>$C$4&amp;"-"&amp;TEXT(COUNTA($D$12:D257),"00")</f>
        <v/>
      </c>
      <c r="B257" s="685" t="inlineStr">
        <is>
          <t>Phân quyền</t>
        </is>
      </c>
      <c r="C257" s="685" t="inlineStr">
        <is>
          <t>Kiểm tra tạo gói khi không có quyền Quản lý gói cước</t>
        </is>
      </c>
      <c r="D257" s="685" t="inlineStr">
        <is>
          <t>ĐK: Tài khoản không có quyền
1. Truy cập trực tiếp URL tạo gói cước</t>
        </is>
      </c>
      <c r="E257" s="685" t="inlineStr">
        <is>
          <t>1. Bị chặn truy cập</t>
        </is>
      </c>
      <c r="F257" s="683" t="n"/>
      <c r="G257" s="686" t="inlineStr">
        <is>
          <t>24/09/2026</t>
        </is>
      </c>
      <c r="H257" s="683" t="n"/>
      <c r="I257" s="683" t="n"/>
      <c r="J257" s="683" t="n"/>
      <c r="K257" s="683" t="n"/>
      <c r="L257" s="683" t="n"/>
      <c r="M257" s="683" t="inlineStr">
        <is>
          <t>Mục QL gói cước - UC2 tạo mới gói cước Pre-condition 1, NFR 3.1 - Cần BA confirm</t>
        </is>
      </c>
    </row>
    <row r="258" ht="15.75" customHeight="1" s="668"/>
    <row r="259" ht="15.75" customHeight="1" s="668"/>
    <row r="260" ht="15.75" customHeight="1" s="668"/>
    <row r="261" ht="15.75" customHeight="1" s="668"/>
    <row r="262" ht="15.75" customHeight="1" s="668"/>
    <row r="263" ht="15.75" customHeight="1" s="668"/>
    <row r="264" ht="15.75" customHeight="1" s="668"/>
    <row r="265" ht="15.75" customHeight="1" s="668"/>
    <row r="266" ht="15.75" customHeight="1" s="668"/>
    <row r="267" ht="15.75" customHeight="1" s="668"/>
    <row r="268" ht="15.75" customHeight="1" s="668"/>
    <row r="269" ht="15.75" customHeight="1" s="668"/>
    <row r="270" ht="15.75" customHeight="1" s="668"/>
    <row r="271" ht="15.75" customHeight="1" s="668"/>
    <row r="272" ht="15.75" customHeight="1" s="668"/>
    <row r="273" ht="15.75" customHeight="1" s="668"/>
    <row r="274" ht="15.75" customHeight="1" s="668"/>
    <row r="275" ht="15.75" customHeight="1" s="668"/>
    <row r="276" ht="15.75" customHeight="1" s="668"/>
    <row r="277" ht="15.75" customHeight="1" s="668"/>
    <row r="278" ht="15.75" customHeight="1" s="668"/>
    <row r="279" ht="15.75" customHeight="1" s="668"/>
    <row r="280" ht="15.75" customHeight="1" s="668"/>
    <row r="281" ht="15.75" customHeight="1" s="668"/>
    <row r="282" ht="15.75" customHeight="1" s="668"/>
    <row r="283" ht="15.75" customHeight="1" s="668"/>
    <row r="284" ht="15.75" customHeight="1" s="668"/>
    <row r="285" ht="15.75" customHeight="1" s="668"/>
    <row r="286" ht="15.75" customHeight="1" s="668"/>
    <row r="287" ht="15.75" customHeight="1" s="668"/>
    <row r="288" ht="15.75" customHeight="1" s="668"/>
    <row r="289" ht="15.75" customHeight="1" s="668"/>
    <row r="290" ht="15.75" customHeight="1" s="668"/>
    <row r="291" ht="15.75" customHeight="1" s="668"/>
    <row r="292" ht="15.75" customHeight="1" s="668"/>
    <row r="293" ht="15.75" customHeight="1" s="668"/>
    <row r="294" ht="15.75" customHeight="1" s="668"/>
    <row r="295" ht="15.75" customHeight="1" s="668"/>
    <row r="296" ht="15.75" customHeight="1" s="668"/>
    <row r="297" ht="15.75" customHeight="1" s="668"/>
    <row r="298" ht="15.75" customHeight="1" s="668"/>
    <row r="299" ht="15.75" customHeight="1" s="668"/>
    <row r="300" ht="15.75" customHeight="1" s="668"/>
    <row r="301" ht="15.75" customHeight="1" s="668"/>
    <row r="302" ht="15.75" customHeight="1" s="668"/>
    <row r="303" ht="15.75" customHeight="1" s="668"/>
    <row r="304" ht="15.75" customHeight="1" s="668"/>
    <row r="305" ht="15.75" customHeight="1" s="668"/>
    <row r="306" ht="15.75" customHeight="1" s="668"/>
    <row r="307" ht="15.75" customHeight="1" s="668"/>
    <row r="308" ht="15.75" customHeight="1" s="668"/>
    <row r="309" ht="15.75" customHeight="1" s="668"/>
    <row r="310" ht="15.75" customHeight="1" s="668"/>
    <row r="311" ht="15.75" customHeight="1" s="668"/>
    <row r="312" ht="15.75" customHeight="1" s="668"/>
    <row r="313" ht="15.75" customHeight="1" s="668"/>
    <row r="314" ht="15.75" customHeight="1" s="668"/>
    <row r="315" ht="15.75" customHeight="1" s="668"/>
    <row r="316" ht="15.75" customHeight="1" s="668"/>
    <row r="317" ht="15.75" customHeight="1" s="668"/>
    <row r="318" ht="15.75" customHeight="1" s="668"/>
    <row r="319" ht="15.75" customHeight="1" s="668"/>
    <row r="320" ht="15.75" customHeight="1" s="668"/>
    <row r="321" ht="15.75" customHeight="1" s="668"/>
    <row r="322" ht="15.75" customHeight="1" s="668"/>
    <row r="323" ht="15.75" customHeight="1" s="668"/>
    <row r="324" ht="15.75" customHeight="1" s="668"/>
    <row r="325" ht="15.75" customHeight="1" s="668"/>
    <row r="326" ht="15.75" customHeight="1" s="668"/>
    <row r="327" ht="15.75" customHeight="1" s="668"/>
    <row r="328" ht="15.75" customHeight="1" s="668"/>
    <row r="329" ht="15.75" customHeight="1" s="668"/>
    <row r="330" ht="15.75" customHeight="1" s="668"/>
    <row r="331" ht="15.75" customHeight="1" s="668"/>
    <row r="332" ht="15.75" customHeight="1" s="668"/>
    <row r="333" ht="15.75" customHeight="1" s="668"/>
    <row r="334" ht="15.75" customHeight="1" s="668"/>
    <row r="335" ht="15.75" customHeight="1" s="668"/>
    <row r="336" ht="15.75" customHeight="1" s="668"/>
    <row r="337" ht="15.75" customHeight="1" s="668"/>
    <row r="338" ht="15.75" customHeight="1" s="668"/>
    <row r="339" ht="15.75" customHeight="1" s="668"/>
    <row r="340" ht="15.75" customHeight="1" s="668"/>
    <row r="341" ht="15.75" customHeight="1" s="668"/>
    <row r="342" ht="15.75" customHeight="1" s="668"/>
    <row r="343" ht="15.75" customHeight="1" s="668"/>
    <row r="344" ht="15.75" customHeight="1" s="668"/>
    <row r="345" ht="15.75" customHeight="1" s="668"/>
    <row r="346" ht="15.75" customHeight="1" s="668"/>
    <row r="347" ht="15.75" customHeight="1" s="668"/>
    <row r="348" ht="15.75" customHeight="1" s="668"/>
    <row r="349" ht="15.75" customHeight="1" s="668"/>
    <row r="350" ht="15.75" customHeight="1" s="668"/>
    <row r="351" ht="15.75" customHeight="1" s="668"/>
    <row r="352" ht="15.75" customHeight="1" s="668"/>
    <row r="353" ht="15.75" customHeight="1" s="668"/>
    <row r="354" ht="15.75" customHeight="1" s="668"/>
    <row r="355" ht="15.75" customHeight="1" s="668"/>
    <row r="356" ht="15.75" customHeight="1" s="668"/>
    <row r="357" ht="15.75" customHeight="1" s="668"/>
    <row r="358" ht="15.75" customHeight="1" s="668"/>
    <row r="359" ht="15.75" customHeight="1" s="668"/>
    <row r="360" ht="15.75" customHeight="1" s="668"/>
    <row r="361" ht="15.75" customHeight="1" s="668"/>
    <row r="362" ht="15.75" customHeight="1" s="668"/>
    <row r="363" ht="15.75" customHeight="1" s="668"/>
    <row r="364" ht="15.75" customHeight="1" s="668"/>
    <row r="365" ht="15.75" customHeight="1" s="668"/>
    <row r="366" ht="15.75" customHeight="1" s="668"/>
    <row r="367" ht="15.75" customHeight="1" s="668"/>
    <row r="368" ht="15.75" customHeight="1" s="668"/>
    <row r="369" ht="15.75" customHeight="1" s="668"/>
    <row r="370" ht="15.75" customHeight="1" s="668"/>
    <row r="371" ht="15.75" customHeight="1" s="668"/>
    <row r="372" ht="15.75" customHeight="1" s="668"/>
    <row r="373" ht="15.75" customHeight="1" s="668"/>
    <row r="374" ht="15.75" customHeight="1" s="668"/>
    <row r="375" ht="15.75" customHeight="1" s="668"/>
    <row r="376" ht="15.75" customHeight="1" s="668"/>
    <row r="377" ht="15.75" customHeight="1" s="668"/>
    <row r="378" ht="15.75" customHeight="1" s="668"/>
    <row r="379" ht="15.75" customHeight="1" s="668"/>
    <row r="380" ht="15.75" customHeight="1" s="668"/>
    <row r="381" ht="15.75" customHeight="1" s="668"/>
    <row r="382" ht="15.75" customHeight="1" s="668"/>
    <row r="383" ht="15.75" customHeight="1" s="668"/>
    <row r="384" ht="15.75" customHeight="1" s="668"/>
    <row r="385" ht="15.75" customHeight="1" s="668"/>
    <row r="386" ht="15.75" customHeight="1" s="668"/>
    <row r="387" ht="15.75" customHeight="1" s="668"/>
    <row r="388" ht="15.75" customHeight="1" s="668"/>
    <row r="389" ht="15.75" customHeight="1" s="668"/>
    <row r="390" ht="15.75" customHeight="1" s="668"/>
    <row r="391" ht="15.75" customHeight="1" s="668"/>
    <row r="392" ht="15.75" customHeight="1" s="668"/>
    <row r="393" ht="15.75" customHeight="1" s="668"/>
    <row r="394" ht="15.75" customHeight="1" s="668"/>
    <row r="395" ht="15.75" customHeight="1" s="668"/>
    <row r="396" ht="15.75" customHeight="1" s="668"/>
    <row r="397" ht="15.75" customHeight="1" s="668"/>
    <row r="398" ht="15.75" customHeight="1" s="668"/>
    <row r="399" ht="15.75" customHeight="1" s="668"/>
    <row r="400" ht="15.75" customHeight="1" s="668"/>
    <row r="401" ht="15.75" customHeight="1" s="668"/>
    <row r="402" ht="15.75" customHeight="1" s="668"/>
    <row r="403" ht="15.75" customHeight="1" s="668"/>
    <row r="404" ht="15.75" customHeight="1" s="668"/>
    <row r="405" ht="15.75" customHeight="1" s="668"/>
    <row r="406" ht="15.75" customHeight="1" s="668"/>
    <row r="407" ht="15.75" customHeight="1" s="668"/>
    <row r="408" ht="15.75" customHeight="1" s="668"/>
    <row r="409" ht="15.75" customHeight="1" s="668"/>
    <row r="410" ht="15.75" customHeight="1" s="668"/>
    <row r="411" ht="15.75" customHeight="1" s="668"/>
    <row r="412" ht="15.75" customHeight="1" s="668"/>
    <row r="413" ht="15.75" customHeight="1" s="668"/>
    <row r="414" ht="15.75" customHeight="1" s="668"/>
    <row r="415" ht="15.75" customHeight="1" s="668"/>
    <row r="416" ht="15.75" customHeight="1" s="668"/>
    <row r="417" ht="15.75" customHeight="1" s="668"/>
    <row r="418" ht="15.75" customHeight="1" s="668"/>
    <row r="419" ht="15.75" customHeight="1" s="668"/>
    <row r="420" ht="15.75" customHeight="1" s="668"/>
    <row r="421" ht="15.75" customHeight="1" s="668"/>
    <row r="422" ht="15.75" customHeight="1" s="668"/>
    <row r="423" ht="15.75" customHeight="1" s="668"/>
    <row r="424" ht="15.75" customHeight="1" s="668"/>
    <row r="425" ht="15.75" customHeight="1" s="668"/>
    <row r="426" ht="15.75" customHeight="1" s="668"/>
    <row r="427" ht="15.75" customHeight="1" s="668"/>
    <row r="428" ht="15.75" customHeight="1" s="668"/>
    <row r="429" ht="15.75" customHeight="1" s="668"/>
    <row r="430" ht="15.75" customHeight="1" s="668"/>
    <row r="431" ht="15.75" customHeight="1" s="668"/>
    <row r="432" ht="15.75" customHeight="1" s="668"/>
    <row r="433" ht="15.75" customHeight="1" s="668"/>
    <row r="434" ht="15.75" customHeight="1" s="668"/>
    <row r="435" ht="15.75" customHeight="1" s="668"/>
    <row r="436" ht="15.75" customHeight="1" s="668"/>
    <row r="437" ht="15.75" customHeight="1" s="668"/>
    <row r="438" ht="15.75" customHeight="1" s="668"/>
    <row r="439" ht="15.75" customHeight="1" s="668"/>
    <row r="440" ht="15.75" customHeight="1" s="668"/>
    <row r="441" ht="15.75" customHeight="1" s="668"/>
    <row r="442" ht="15.75" customHeight="1" s="668"/>
    <row r="443" ht="15.75" customHeight="1" s="668"/>
    <row r="444" ht="15.75" customHeight="1" s="668"/>
    <row r="445" ht="15.75" customHeight="1" s="668"/>
    <row r="446" ht="15.75" customHeight="1" s="668"/>
    <row r="447" ht="15.75" customHeight="1" s="668"/>
    <row r="448" ht="15.75" customHeight="1" s="668"/>
    <row r="449" ht="15.75" customHeight="1" s="668"/>
    <row r="450" ht="15.75" customHeight="1" s="668"/>
    <row r="451" ht="15.75" customHeight="1" s="668"/>
    <row r="452" ht="15.75" customHeight="1" s="668"/>
    <row r="453" ht="15.75" customHeight="1" s="668"/>
    <row r="454" ht="15.75" customHeight="1" s="668"/>
    <row r="455" ht="15.75" customHeight="1" s="668"/>
    <row r="456" ht="15.75" customHeight="1" s="668"/>
    <row r="457" ht="15.75" customHeight="1" s="668"/>
    <row r="458" ht="15.75" customHeight="1" s="668"/>
    <row r="459" ht="15.75" customHeight="1" s="668"/>
    <row r="460" ht="15.75" customHeight="1" s="668"/>
    <row r="461" ht="15.75" customHeight="1" s="668"/>
    <row r="462" ht="15.75" customHeight="1" s="668"/>
    <row r="463" ht="15.75" customHeight="1" s="668"/>
    <row r="464" ht="15.75" customHeight="1" s="668"/>
    <row r="465" ht="15.75" customHeight="1" s="668"/>
    <row r="466" ht="15.75" customHeight="1" s="668"/>
    <row r="467" ht="15.75" customHeight="1" s="668"/>
    <row r="468" ht="15.75" customHeight="1" s="668"/>
    <row r="469" ht="15.75" customHeight="1" s="668"/>
    <row r="470" ht="15.75" customHeight="1" s="668"/>
    <row r="471" ht="15.75" customHeight="1" s="668"/>
    <row r="472" ht="15.75" customHeight="1" s="668"/>
    <row r="473" ht="15.75" customHeight="1" s="668"/>
    <row r="474" ht="15.75" customHeight="1" s="668"/>
    <row r="475" ht="15.75" customHeight="1" s="668"/>
    <row r="476" ht="15.75" customHeight="1" s="668"/>
    <row r="477" ht="15.75" customHeight="1" s="668"/>
    <row r="478" ht="15.75" customHeight="1" s="668"/>
    <row r="479" ht="15.75" customHeight="1" s="668"/>
    <row r="480" ht="15.75" customHeight="1" s="668"/>
    <row r="481" ht="15.75" customHeight="1" s="668"/>
    <row r="482" ht="15.75" customHeight="1" s="668"/>
    <row r="483" ht="15.75" customHeight="1" s="668"/>
    <row r="484" ht="15.75" customHeight="1" s="668"/>
    <row r="485" ht="15.75" customHeight="1" s="668"/>
    <row r="486" ht="15.75" customHeight="1" s="668"/>
    <row r="487" ht="15.75" customHeight="1" s="668"/>
    <row r="488" ht="15.75" customHeight="1" s="668"/>
    <row r="489" ht="15.75" customHeight="1" s="668"/>
    <row r="490" ht="15.75" customHeight="1" s="668"/>
    <row r="491" ht="15.75" customHeight="1" s="668"/>
    <row r="492" ht="15.75" customHeight="1" s="668"/>
    <row r="493" ht="15.75" customHeight="1" s="668"/>
    <row r="494" ht="15.75" customHeight="1" s="668"/>
    <row r="495" ht="15.75" customHeight="1" s="668"/>
    <row r="496" ht="15.75" customHeight="1" s="668"/>
    <row r="497" ht="15.75" customHeight="1" s="668"/>
    <row r="498" ht="15.75" customHeight="1" s="668"/>
    <row r="499" ht="15.75" customHeight="1" s="668"/>
    <row r="500" ht="15.75" customHeight="1" s="668"/>
    <row r="501" ht="15.75" customHeight="1" s="668"/>
    <row r="502" ht="15.75" customHeight="1" s="668"/>
    <row r="503" ht="15.75" customHeight="1" s="668"/>
    <row r="504" ht="15.75" customHeight="1" s="668"/>
    <row r="505" ht="15.75" customHeight="1" s="668"/>
    <row r="506" ht="15.75" customHeight="1" s="668"/>
    <row r="507" ht="15.75" customHeight="1" s="668"/>
    <row r="508" ht="15.75" customHeight="1" s="668"/>
    <row r="509" ht="15.75" customHeight="1" s="668"/>
    <row r="510" ht="15.75" customHeight="1" s="668"/>
    <row r="511" ht="15.75" customHeight="1" s="668"/>
    <row r="512" ht="15.75" customHeight="1" s="668"/>
    <row r="513" ht="15.75" customHeight="1" s="668"/>
    <row r="514" ht="15.75" customHeight="1" s="668"/>
    <row r="515" ht="15.75" customHeight="1" s="668"/>
    <row r="516" ht="15.75" customHeight="1" s="668"/>
    <row r="517" ht="15.75" customHeight="1" s="668"/>
    <row r="518" ht="15.75" customHeight="1" s="668"/>
    <row r="519" ht="15.75" customHeight="1" s="668"/>
    <row r="520" ht="15.75" customHeight="1" s="668"/>
    <row r="521" ht="15.75" customHeight="1" s="668"/>
    <row r="522" ht="15.75" customHeight="1" s="668"/>
    <row r="523" ht="15.75" customHeight="1" s="668"/>
    <row r="524" ht="15.75" customHeight="1" s="668"/>
    <row r="525" ht="15.75" customHeight="1" s="668"/>
    <row r="526" ht="15.75" customHeight="1" s="668"/>
    <row r="527" ht="15.75" customHeight="1" s="668"/>
    <row r="528" ht="15.75" customHeight="1" s="668"/>
    <row r="529" ht="15.75" customHeight="1" s="668"/>
    <row r="530" ht="15.75" customHeight="1" s="668"/>
    <row r="531" ht="15.75" customHeight="1" s="668"/>
    <row r="532" ht="15.75" customHeight="1" s="668"/>
    <row r="533" ht="15.75" customHeight="1" s="668"/>
    <row r="534" ht="15.75" customHeight="1" s="668"/>
    <row r="535" ht="15.75" customHeight="1" s="668"/>
    <row r="536" ht="15.75" customHeight="1" s="668"/>
    <row r="537" ht="15.75" customHeight="1" s="668"/>
    <row r="538" ht="15.75" customHeight="1" s="668"/>
    <row r="539" ht="15.75" customHeight="1" s="668"/>
    <row r="540" ht="15.75" customHeight="1" s="668"/>
    <row r="541" ht="15.75" customHeight="1" s="668"/>
    <row r="542" ht="15.75" customHeight="1" s="668"/>
    <row r="543" ht="15.75" customHeight="1" s="668"/>
    <row r="544" ht="15.75" customHeight="1" s="668"/>
    <row r="545" ht="15.75" customHeight="1" s="668"/>
  </sheetData>
  <mergeCells count="81">
    <mergeCell ref="B209:B214"/>
    <mergeCell ref="C10:C11"/>
    <mergeCell ref="E10:E11"/>
    <mergeCell ref="G10:G11"/>
    <mergeCell ref="B29:B30"/>
    <mergeCell ref="A121:M121"/>
    <mergeCell ref="B133:B148"/>
    <mergeCell ref="B23:B24"/>
    <mergeCell ref="A13:M13"/>
    <mergeCell ref="A7:B7"/>
    <mergeCell ref="C1:M1"/>
    <mergeCell ref="B78:B79"/>
    <mergeCell ref="B85:B89"/>
    <mergeCell ref="B246:B247"/>
    <mergeCell ref="B123:B131"/>
    <mergeCell ref="B53:B56"/>
    <mergeCell ref="B80:B81"/>
    <mergeCell ref="B47:B51"/>
    <mergeCell ref="A33:K33"/>
    <mergeCell ref="B114:B115"/>
    <mergeCell ref="D10:D11"/>
    <mergeCell ref="B57:B59"/>
    <mergeCell ref="B25:B26"/>
    <mergeCell ref="B68:B77"/>
    <mergeCell ref="A9:B9"/>
    <mergeCell ref="H10:H11"/>
    <mergeCell ref="J10:J11"/>
    <mergeCell ref="B27:B28"/>
    <mergeCell ref="B90:B91"/>
    <mergeCell ref="A120:C120"/>
    <mergeCell ref="B230:B236"/>
    <mergeCell ref="A12:C12"/>
    <mergeCell ref="M10:M11"/>
    <mergeCell ref="B175:B183"/>
    <mergeCell ref="A61:K61"/>
    <mergeCell ref="B253:B256"/>
    <mergeCell ref="B157:B171"/>
    <mergeCell ref="B107:B112"/>
    <mergeCell ref="B101:B104"/>
    <mergeCell ref="B248:B252"/>
    <mergeCell ref="A10:A11"/>
    <mergeCell ref="A8:B8"/>
    <mergeCell ref="B93:B97"/>
    <mergeCell ref="A100:K100"/>
    <mergeCell ref="B188:B191"/>
    <mergeCell ref="F10:F11"/>
    <mergeCell ref="B31:B32"/>
    <mergeCell ref="A1:B1"/>
    <mergeCell ref="B192:B196"/>
    <mergeCell ref="B82:B83"/>
    <mergeCell ref="B105:B106"/>
    <mergeCell ref="B219:B224"/>
    <mergeCell ref="B98:B99"/>
    <mergeCell ref="B185:B187"/>
    <mergeCell ref="A3:B3"/>
    <mergeCell ref="A21:K21"/>
    <mergeCell ref="A5:B5"/>
    <mergeCell ref="A113:K113"/>
    <mergeCell ref="A14:K14"/>
    <mergeCell ref="I10:I11"/>
    <mergeCell ref="K10:K11"/>
    <mergeCell ref="B42:B46"/>
    <mergeCell ref="B203:B208"/>
    <mergeCell ref="B62:B63"/>
    <mergeCell ref="B215:B218"/>
    <mergeCell ref="B37:B41"/>
    <mergeCell ref="A132:K132"/>
    <mergeCell ref="A6:B6"/>
    <mergeCell ref="A237:K237"/>
    <mergeCell ref="B149:B156"/>
    <mergeCell ref="B238:B245"/>
    <mergeCell ref="B64:B66"/>
    <mergeCell ref="B10:B11"/>
    <mergeCell ref="L10:L11"/>
    <mergeCell ref="A2:B2"/>
    <mergeCell ref="B201:B202"/>
    <mergeCell ref="B15:B20"/>
    <mergeCell ref="A122:K122"/>
    <mergeCell ref="B197:B200"/>
    <mergeCell ref="B172:B174"/>
    <mergeCell ref="B225:B229"/>
  </mergeCells>
  <conditionalFormatting sqref="K101 K136:K141 K162:K167 K177">
    <cfRule type="containsText" priority="1" operator="containsText" dxfId="0" text="P">
      <formula>NOT(ISERROR(SEARCH(("P"),(K101))))</formula>
    </cfRule>
    <cfRule type="containsText" priority="2" operator="containsText" dxfId="1" text="F">
      <formula>NOT(ISERROR(SEARCH(("F"),(K101))))</formula>
    </cfRule>
  </conditionalFormatting>
  <dataValidations count="1">
    <dataValidation sqref="K15:K257" showDropDown="0" showInputMessage="0" showErrorMessage="0" allowBlank="1" type="list">
      <formula1>"Pass,Fail,Pending,N/A"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4" customWidth="1" style="668" min="1" max="1"/>
    <col width="22" customWidth="1" style="668" min="2" max="2"/>
    <col width="22" customWidth="1" style="668" min="3" max="3"/>
    <col width="22" customWidth="1" style="668" min="4" max="4"/>
  </cols>
  <sheetData>
    <row r="1">
      <c r="A1" s="688" t="inlineStr">
        <is>
          <t>1. BẢNG QUYẾT ĐỊNH - Hiển thị thông tin dòng cha theo Loại dịch vụ (UC1 STT 11, 12)</t>
        </is>
      </c>
    </row>
    <row r="3" ht="45" customHeight="1" s="668">
      <c r="A3" s="689" t="inlineStr">
        <is>
          <t>Điều kiện / Thành phần</t>
        </is>
      </c>
      <c r="B3" s="689" t="inlineStr">
        <is>
          <t>R1</t>
        </is>
      </c>
      <c r="C3" s="689" t="inlineStr">
        <is>
          <t>R2</t>
        </is>
      </c>
      <c r="D3" s="689" t="inlineStr">
        <is>
          <t>R3</t>
        </is>
      </c>
    </row>
    <row r="4" ht="32" customHeight="1" s="668">
      <c r="A4" s="690" t="inlineStr">
        <is>
          <t>Loại dịch vụ = OA</t>
        </is>
      </c>
      <c r="B4" s="690" t="inlineStr">
        <is>
          <t>Y</t>
        </is>
      </c>
      <c r="C4" s="690" t="inlineStr">
        <is>
          <t>N</t>
        </is>
      </c>
      <c r="D4" s="690" t="inlineStr">
        <is>
          <t>Y</t>
        </is>
      </c>
    </row>
    <row r="5" ht="32" customHeight="1" s="668">
      <c r="A5" s="690" t="inlineStr">
        <is>
          <t>Chuỗi hiển thị &gt; 20 ký tự</t>
        </is>
      </c>
      <c r="B5" s="690" t="inlineStr">
        <is>
          <t>N</t>
        </is>
      </c>
      <c r="C5" s="690" t="inlineStr">
        <is>
          <t>-</t>
        </is>
      </c>
      <c r="D5" s="690" t="inlineStr">
        <is>
          <t>Y</t>
        </is>
      </c>
    </row>
    <row r="6" ht="32" customHeight="1" s="668">
      <c r="A6" s="690" t="inlineStr">
        <is>
          <t>Loại hình OA áp dụng</t>
        </is>
      </c>
      <c r="B6" s="690" t="inlineStr">
        <is>
          <t>Hiện đầy đủ</t>
        </is>
      </c>
      <c r="C6" s="690" t="inlineStr">
        <is>
          <t>Ẩn</t>
        </is>
      </c>
      <c r="D6" s="690" t="inlineStr">
        <is>
          <t>Hiện 20 ký tự + "…"</t>
        </is>
      </c>
    </row>
    <row r="7" ht="32" customHeight="1" s="668">
      <c r="A7" s="690" t="inlineStr">
        <is>
          <t>Danh mục OA áp dụng</t>
        </is>
      </c>
      <c r="B7" s="690" t="inlineStr">
        <is>
          <t>Hiện đầy đủ</t>
        </is>
      </c>
      <c r="C7" s="690" t="inlineStr">
        <is>
          <t>Ẩn</t>
        </is>
      </c>
      <c r="D7" s="690" t="inlineStr">
        <is>
          <t>Hiện 20 ký tự + "…"</t>
        </is>
      </c>
    </row>
    <row r="10">
      <c r="A10" s="688" t="inlineStr">
        <is>
          <t>2. BẢNG QUYẾT ĐỊNH - Trường phụ thuộc "Bật/tắt trạng thái" (UC2 STT 10-12) - theo design + bảng Trạng thái gói cước, BR02 đang ngược -&gt; BA confirm</t>
        </is>
      </c>
    </row>
    <row r="12" ht="45" customHeight="1" s="668">
      <c r="A12" s="689" t="inlineStr">
        <is>
          <t>Điều kiện / Thành phần</t>
        </is>
      </c>
      <c r="B12" s="689" t="inlineStr">
        <is>
          <t>Thủ công</t>
        </is>
      </c>
      <c r="C12" s="689" t="inlineStr">
        <is>
          <t>Tự động</t>
        </is>
      </c>
    </row>
    <row r="13" ht="32" customHeight="1" s="668">
      <c r="A13" s="690" t="inlineStr">
        <is>
          <t>Trạng thái kinh doanh</t>
        </is>
      </c>
      <c r="B13" s="690" t="inlineStr">
        <is>
          <t>Hiện, bắt buộc (mặc định Đang kinh doanh)</t>
        </is>
      </c>
      <c r="C13" s="690" t="inlineStr">
        <is>
          <t>Ẩn</t>
        </is>
      </c>
    </row>
    <row r="14" ht="32" customHeight="1" s="668">
      <c r="A14" s="690" t="inlineStr">
        <is>
          <t>Thời gian bắt đầu</t>
        </is>
      </c>
      <c r="B14" s="690" t="inlineStr">
        <is>
          <t>Ẩn / không bắt buộc</t>
        </is>
      </c>
      <c r="C14" s="690" t="inlineStr">
        <is>
          <t>Hiện, bắt buộc, &gt; hiện tại</t>
        </is>
      </c>
    </row>
    <row r="15" ht="32" customHeight="1" s="668">
      <c r="A15" s="690" t="inlineStr">
        <is>
          <t>Thời gian kết thúc</t>
        </is>
      </c>
      <c r="B15" s="690" t="inlineStr">
        <is>
          <t>Ẩn / không bắt buộc</t>
        </is>
      </c>
      <c r="C15" s="690" t="inlineStr">
        <is>
          <t>Hiện, bắt buộc, &gt; Thời gian bắt đầu</t>
        </is>
      </c>
    </row>
    <row r="16" ht="32" customHeight="1" s="668">
      <c r="A16" s="690" t="inlineStr">
        <is>
          <t>Dữ liệu lưu</t>
        </is>
      </c>
      <c r="B16" s="690" t="inlineStr">
        <is>
          <t>Sale_status</t>
        </is>
      </c>
      <c r="C16" s="690" t="inlineStr">
        <is>
          <t>start_time, end_time</t>
        </is>
      </c>
    </row>
    <row r="19">
      <c r="A19" s="688" t="inlineStr">
        <is>
          <t>3. BẢNG QUYẾT ĐỊNH - Validate trùng Mã gói / Chu kỳ (UC2 BR04, BR06)</t>
        </is>
      </c>
    </row>
    <row r="21" ht="45" customHeight="1" s="668">
      <c r="A21" s="689" t="inlineStr">
        <is>
          <t>Gói đã tồn tại</t>
        </is>
      </c>
      <c r="B21" s="689" t="inlineStr">
        <is>
          <t>Cùng loại gói?</t>
        </is>
      </c>
      <c r="C21" s="689" t="inlineStr">
        <is>
          <t>Trạng thái gói đã tồn tại</t>
        </is>
      </c>
      <c r="D21" s="689" t="inlineStr">
        <is>
          <t>Kết quả</t>
        </is>
      </c>
    </row>
    <row r="22" ht="32" customHeight="1" s="668">
      <c r="A22" s="690" t="inlineStr">
        <is>
          <t>Trùng mã</t>
        </is>
      </c>
      <c r="B22" s="690" t="inlineStr">
        <is>
          <t>Bất kỳ</t>
        </is>
      </c>
      <c r="C22" s="690" t="inlineStr">
        <is>
          <t>Nháp / Đã phát hành / Đang KD / Ngừng KD</t>
        </is>
      </c>
      <c r="D22" s="690" t="inlineStr">
        <is>
          <t>Lỗi "Mã gói đã được sử dụng"</t>
        </is>
      </c>
    </row>
    <row r="23" ht="32" customHeight="1" s="668">
      <c r="A23" s="690" t="inlineStr">
        <is>
          <t>Trùng mã</t>
        </is>
      </c>
      <c r="B23" s="690" t="inlineStr">
        <is>
          <t>Bất kỳ</t>
        </is>
      </c>
      <c r="C23" s="690" t="inlineStr">
        <is>
          <t>Đã xoá</t>
        </is>
      </c>
      <c r="D23" s="690" t="inlineStr">
        <is>
          <t>Cho phép lưu</t>
        </is>
      </c>
    </row>
    <row r="24" ht="32" customHeight="1" s="668">
      <c r="A24" s="690" t="inlineStr">
        <is>
          <t>Trùng chu kỳ (quy đổi ngày)</t>
        </is>
      </c>
      <c r="B24" s="690" t="inlineStr">
        <is>
          <t>Có</t>
        </is>
      </c>
      <c r="C24" s="690" t="inlineStr">
        <is>
          <t>Nháp / Đã phát hành / Đang KD / Ngừng KD</t>
        </is>
      </c>
      <c r="D24" s="690" t="inlineStr">
        <is>
          <t>Lỗi "Đã có gói cùng chu kì thuộc cùng loại gói"</t>
        </is>
      </c>
    </row>
    <row r="25" ht="32" customHeight="1" s="668">
      <c r="A25" s="690" t="inlineStr">
        <is>
          <t>Trùng chu kỳ (quy đổi ngày)</t>
        </is>
      </c>
      <c r="B25" s="690" t="inlineStr">
        <is>
          <t>Có</t>
        </is>
      </c>
      <c r="C25" s="690" t="inlineStr">
        <is>
          <t>Đã xoá</t>
        </is>
      </c>
      <c r="D25" s="690" t="inlineStr">
        <is>
          <t>Cho phép lưu</t>
        </is>
      </c>
    </row>
    <row r="26" ht="32" customHeight="1" s="668">
      <c r="A26" s="690" t="inlineStr">
        <is>
          <t>Trùng chu kỳ (quy đổi ngày)</t>
        </is>
      </c>
      <c r="B26" s="690" t="inlineStr">
        <is>
          <t>Không</t>
        </is>
      </c>
      <c r="C26" s="690" t="inlineStr">
        <is>
          <t>Bất kỳ</t>
        </is>
      </c>
      <c r="D26" s="690" t="inlineStr">
        <is>
          <t>Cho phép lưu</t>
        </is>
      </c>
    </row>
    <row r="29">
      <c r="A29" s="688" t="inlineStr">
        <is>
          <t>4. PHÂN VÙNG TƯƠNG ĐƯƠNG - Quy đổi chu kỳ (BR05: 1 tuần = 7, 1 tháng = 30, 1 năm = 360 ngày)</t>
        </is>
      </c>
    </row>
    <row r="31" ht="45" customHeight="1" s="668">
      <c r="A31" s="689" t="inlineStr">
        <is>
          <t>Gói đã có</t>
        </is>
      </c>
      <c r="B31" s="689" t="inlineStr">
        <is>
          <t>Gói tạo mới</t>
        </is>
      </c>
      <c r="C31" s="689" t="inlineStr">
        <is>
          <t>Quy đổi (ngày)</t>
        </is>
      </c>
      <c r="D31" s="689" t="inlineStr">
        <is>
          <t>Kết quả</t>
        </is>
      </c>
    </row>
    <row r="32" ht="32" customHeight="1" s="668">
      <c r="A32" s="690" t="inlineStr">
        <is>
          <t>30 Ngày</t>
        </is>
      </c>
      <c r="B32" s="690" t="inlineStr">
        <is>
          <t>1 Tháng</t>
        </is>
      </c>
      <c r="C32" s="690" t="inlineStr">
        <is>
          <t>30 = 30</t>
        </is>
      </c>
      <c r="D32" s="690" t="inlineStr">
        <is>
          <t>Trùng -&gt; lỗi</t>
        </is>
      </c>
    </row>
    <row r="33" ht="32" customHeight="1" s="668">
      <c r="A33" s="690" t="inlineStr">
        <is>
          <t>14 Ngày</t>
        </is>
      </c>
      <c r="B33" s="690" t="inlineStr">
        <is>
          <t>2 Tuần</t>
        </is>
      </c>
      <c r="C33" s="690" t="inlineStr">
        <is>
          <t>14 = 14</t>
        </is>
      </c>
      <c r="D33" s="690" t="inlineStr">
        <is>
          <t>Trùng -&gt; lỗi</t>
        </is>
      </c>
    </row>
    <row r="34" ht="32" customHeight="1" s="668">
      <c r="A34" s="690" t="inlineStr">
        <is>
          <t>12 Tháng</t>
        </is>
      </c>
      <c r="B34" s="690" t="inlineStr">
        <is>
          <t>1 Năm</t>
        </is>
      </c>
      <c r="C34" s="690" t="inlineStr">
        <is>
          <t>360 = 360</t>
        </is>
      </c>
      <c r="D34" s="690" t="inlineStr">
        <is>
          <t>Trùng -&gt; lỗi</t>
        </is>
      </c>
    </row>
    <row r="35" ht="32" customHeight="1" s="668">
      <c r="A35" s="690" t="inlineStr">
        <is>
          <t>1 Tháng</t>
        </is>
      </c>
      <c r="B35" s="690" t="inlineStr">
        <is>
          <t>29 Ngày / 31 Ngày</t>
        </is>
      </c>
      <c r="C35" s="690" t="inlineStr">
        <is>
          <t>30 ≠ 29 / 31</t>
        </is>
      </c>
      <c r="D35" s="690" t="inlineStr">
        <is>
          <t>Hợp lệ</t>
        </is>
      </c>
    </row>
    <row r="38">
      <c r="A38" s="688" t="inlineStr">
        <is>
          <t>5. PHÂN TÍCH GIÁ TRỊ BIÊN</t>
        </is>
      </c>
    </row>
    <row r="40" ht="45" customHeight="1" s="668">
      <c r="A40" s="689" t="inlineStr">
        <is>
          <t>Ràng buộc</t>
        </is>
      </c>
      <c r="B40" s="689" t="inlineStr">
        <is>
          <t>Dưới biên</t>
        </is>
      </c>
      <c r="C40" s="689" t="inlineStr">
        <is>
          <t>Tại biên</t>
        </is>
      </c>
      <c r="D40" s="689" t="inlineStr">
        <is>
          <t>Trên biên</t>
        </is>
      </c>
    </row>
    <row r="41" ht="32" customHeight="1" s="668">
      <c r="A41" s="690" t="inlineStr">
        <is>
          <t>Mã gói cước tối đa 50 ký tự</t>
        </is>
      </c>
      <c r="B41" s="690" t="inlineStr">
        <is>
          <t>49 (hợp lệ)</t>
        </is>
      </c>
      <c r="C41" s="690" t="inlineStr">
        <is>
          <t>50 (hợp lệ)</t>
        </is>
      </c>
      <c r="D41" s="690" t="inlineStr">
        <is>
          <t>51 (bị chặn)</t>
        </is>
      </c>
    </row>
    <row r="42" ht="32" customHeight="1" s="668">
      <c r="A42" s="690" t="inlineStr">
        <is>
          <t>Mô tả tối đa 500 ký tự</t>
        </is>
      </c>
      <c r="B42" s="690" t="inlineStr">
        <is>
          <t>499 (hợp lệ)</t>
        </is>
      </c>
      <c r="C42" s="690" t="inlineStr">
        <is>
          <t>500 (hợp lệ)</t>
        </is>
      </c>
      <c r="D42" s="690" t="inlineStr">
        <is>
          <t>501 (bị chặn)</t>
        </is>
      </c>
    </row>
    <row r="43" ht="32" customHeight="1" s="668">
      <c r="A43" s="690" t="inlineStr">
        <is>
          <t>Tag tối đa 50 ký tự</t>
        </is>
      </c>
      <c r="B43" s="690" t="inlineStr">
        <is>
          <t>49</t>
        </is>
      </c>
      <c r="C43" s="690" t="inlineStr">
        <is>
          <t>50 (hợp lệ)</t>
        </is>
      </c>
      <c r="D43" s="690" t="inlineStr">
        <is>
          <t>51 (bị chặn)</t>
        </is>
      </c>
    </row>
    <row r="44" ht="32" customHeight="1" s="668">
      <c r="A44" s="690" t="inlineStr">
        <is>
          <t>Chu kỳ &gt; 0</t>
        </is>
      </c>
      <c r="B44" s="690" t="inlineStr">
        <is>
          <t>0 (lỗi)</t>
        </is>
      </c>
      <c r="C44" s="690" t="inlineStr">
        <is>
          <t>1 (hợp lệ)</t>
        </is>
      </c>
      <c r="D44" s="690" t="inlineStr">
        <is>
          <t>2 (hợp lệ)</t>
        </is>
      </c>
    </row>
    <row r="45" ht="32" customHeight="1" s="668">
      <c r="A45" s="690" t="inlineStr">
        <is>
          <t>Giá gốc &gt; 0, DECIMAL(15,2)</t>
        </is>
      </c>
      <c r="B45" s="690" t="inlineStr">
        <is>
          <t>0 (lỗi)</t>
        </is>
      </c>
      <c r="C45" s="690" t="inlineStr">
        <is>
          <t>1 (hợp lệ) / 13 chữ số (hợp lệ)</t>
        </is>
      </c>
      <c r="D45" s="690" t="inlineStr">
        <is>
          <t>14 chữ số (bị chặn)</t>
        </is>
      </c>
    </row>
    <row r="46" ht="32" customHeight="1" s="668">
      <c r="A46" s="690" t="inlineStr">
        <is>
          <t>Thời gian bắt đầu &gt; hiện tại</t>
        </is>
      </c>
      <c r="B46" s="690" t="inlineStr">
        <is>
          <t>Hiện tại - 1 phút (lỗi)</t>
        </is>
      </c>
      <c r="C46" s="690" t="inlineStr">
        <is>
          <t>Hiện tại (lỗi)</t>
        </is>
      </c>
      <c r="D46" s="690" t="inlineStr">
        <is>
          <t>Hiện tại + 1 phút (hợp lệ)</t>
        </is>
      </c>
    </row>
    <row r="47" ht="32" customHeight="1" s="668">
      <c r="A47" s="690" t="inlineStr">
        <is>
          <t>Thời gian kết thúc &gt; bắt đầu</t>
        </is>
      </c>
      <c r="B47" s="690" t="inlineStr">
        <is>
          <t>Bắt đầu - 1s (lỗi)</t>
        </is>
      </c>
      <c r="C47" s="690" t="inlineStr">
        <is>
          <t>Bằng bắt đầu (lỗi)</t>
        </is>
      </c>
      <c r="D47" s="690" t="inlineStr">
        <is>
          <t>Bắt đầu + 1s (hợp lệ)</t>
        </is>
      </c>
    </row>
    <row r="48" ht="32" customHeight="1" s="668">
      <c r="A48" s="690" t="inlineStr">
        <is>
          <t>Số lượng đăng ký giới hạn (0/null = không giới hạn)</t>
        </is>
      </c>
      <c r="B48" s="690" t="inlineStr">
        <is>
          <t>-1 (bị chặn)</t>
        </is>
      </c>
      <c r="C48" s="690" t="inlineStr">
        <is>
          <t>0 (không giới hạn)</t>
        </is>
      </c>
      <c r="D48" s="690" t="inlineStr">
        <is>
          <t>1 (giới hạn 1 lần)</t>
        </is>
      </c>
    </row>
    <row r="49" ht="32" customHeight="1" s="668">
      <c r="A49" s="690" t="inlineStr">
        <is>
          <t>Text dòng cha cắt khi &gt; 20 ký tự</t>
        </is>
      </c>
      <c r="B49" s="690" t="inlineStr">
        <is>
          <t>19</t>
        </is>
      </c>
      <c r="C49" s="690" t="inlineStr">
        <is>
          <t>20 (hiện đủ)</t>
        </is>
      </c>
      <c r="D49" s="690" t="inlineStr">
        <is>
          <t>21 (cắt "…")</t>
        </is>
      </c>
    </row>
    <row r="50" ht="32" customHeight="1" s="668">
      <c r="A50" s="690" t="inlineStr">
        <is>
          <t>Phân trang 10 dòng/trang</t>
        </is>
      </c>
      <c r="B50" s="690" t="inlineStr">
        <is>
          <t>10 loại gói (1 trang)</t>
        </is>
      </c>
      <c r="C50" s="690" t="inlineStr">
        <is>
          <t>11 loại gói (2 trang)</t>
        </is>
      </c>
      <c r="D50" s="690" t="inlineStr">
        <is>
          <t>112 loại gói (trang cuối 111-112)</t>
        </is>
      </c>
    </row>
    <row r="51" ht="32" customHeight="1" s="668">
      <c r="A51" s="690" t="inlineStr">
        <is>
          <t>Badge số lượng gói</t>
        </is>
      </c>
      <c r="B51" s="690" t="inlineStr">
        <is>
          <t>-</t>
        </is>
      </c>
      <c r="C51" s="690" t="inlineStr">
        <is>
          <t>0</t>
        </is>
      </c>
      <c r="D51" s="690" t="inlineStr">
        <is>
          <t>1..n (không tính Đã xoá)</t>
        </is>
      </c>
    </row>
    <row r="54">
      <c r="A54" s="688" t="inlineStr">
        <is>
          <t>6. SƠ ĐỒ CHUYỂN TRẠNG THÁI - Gói cước (bảng Trạng thái gói cước)</t>
        </is>
      </c>
    </row>
    <row r="56" ht="45" customHeight="1" s="668">
      <c r="A56" s="689" t="inlineStr">
        <is>
          <t>Trạng thái hiện tại</t>
        </is>
      </c>
      <c r="B56" s="689" t="inlineStr">
        <is>
          <t>Sự kiện</t>
        </is>
      </c>
      <c r="C56" s="689" t="inlineStr">
        <is>
          <t>Trạng thái kế tiếp</t>
        </is>
      </c>
      <c r="D56" s="689" t="inlineStr">
        <is>
          <t>TC liên quan</t>
        </is>
      </c>
    </row>
    <row r="57" ht="32" customHeight="1" s="668">
      <c r="A57" s="690" t="inlineStr">
        <is>
          <t>(chưa có)</t>
        </is>
      </c>
      <c r="B57" s="690" t="inlineStr">
        <is>
          <t>Tạo mới thành công (UC2)</t>
        </is>
      </c>
      <c r="C57" s="690" t="inlineStr">
        <is>
          <t>Nháp</t>
        </is>
      </c>
      <c r="D57" s="690" t="inlineStr">
        <is>
          <t>UC2 - Kiểm tra trạng thái gói sau khi tạo</t>
        </is>
      </c>
    </row>
    <row r="58" ht="32" customHeight="1" s="668">
      <c r="A58" s="690" t="inlineStr">
        <is>
          <t>(form đang nhập)</t>
        </is>
      </c>
      <c r="B58" s="690" t="inlineStr">
        <is>
          <t>Back -&gt; Xác nhận</t>
        </is>
      </c>
      <c r="C58" s="690" t="inlineStr">
        <is>
          <t>Không tạo bản ghi</t>
        </is>
      </c>
      <c r="D58" s="690" t="inlineStr">
        <is>
          <t>UC2 - Popup huỷ Xác nhận</t>
        </is>
      </c>
    </row>
    <row r="59" ht="32" customHeight="1" s="668">
      <c r="A59" s="690" t="inlineStr">
        <is>
          <t>(form đang nhập)</t>
        </is>
      </c>
      <c r="B59" s="690" t="inlineStr">
        <is>
          <t>Back -&gt; Quay lại</t>
        </is>
      </c>
      <c r="C59" s="690" t="inlineStr">
        <is>
          <t>Giữ form</t>
        </is>
      </c>
      <c r="D59" s="690" t="inlineStr">
        <is>
          <t>UC2 - Popup huỷ Quay lại</t>
        </is>
      </c>
    </row>
    <row r="60" ht="32" customHeight="1" s="668">
      <c r="A60" s="690" t="inlineStr">
        <is>
          <t>Nháp</t>
        </is>
      </c>
      <c r="B60" s="690" t="inlineStr">
        <is>
          <t>Phát hành, hiện tại &lt; thời gian bắt đầu</t>
        </is>
      </c>
      <c r="C60" s="690" t="inlineStr">
        <is>
          <t>Đã phát hành</t>
        </is>
      </c>
      <c r="D60" s="690" t="inlineStr">
        <is>
          <t>UC1 - hiển thị pill trạng thái</t>
        </is>
      </c>
    </row>
    <row r="61" ht="32" customHeight="1" s="668">
      <c r="A61" s="690" t="inlineStr">
        <is>
          <t>Đã phát hành</t>
        </is>
      </c>
      <c r="B61" s="690" t="inlineStr">
        <is>
          <t>Tự động: hiện tại &gt;= thời gian bắt đầu</t>
        </is>
      </c>
      <c r="C61" s="690" t="inlineStr">
        <is>
          <t>Đang kinh doanh</t>
        </is>
      </c>
      <c r="D61" s="690" t="inlineStr">
        <is>
          <t>UC1 - trạng thái tự cập nhật</t>
        </is>
      </c>
    </row>
    <row r="62" ht="32" customHeight="1" s="668">
      <c r="A62" s="690" t="inlineStr">
        <is>
          <t>Đang kinh doanh</t>
        </is>
      </c>
      <c r="B62" s="690" t="inlineStr">
        <is>
          <t>Hiện tại &gt;= thời gian kết thúc / chuyển thủ công</t>
        </is>
      </c>
      <c r="C62" s="690" t="inlineStr">
        <is>
          <t>Ngừng kinh doanh</t>
        </is>
      </c>
      <c r="D62" s="690" t="inlineStr">
        <is>
          <t>UC1 - pill Ngừng kinh doanh</t>
        </is>
      </c>
    </row>
    <row r="63" ht="32" customHeight="1" s="668">
      <c r="A63" s="690" t="inlineStr">
        <is>
          <t>Nháp / Đã phát hành / Ngừng KD (chưa có giao dịch)</t>
        </is>
      </c>
      <c r="B63" s="690" t="inlineStr">
        <is>
          <t>Xoá</t>
        </is>
      </c>
      <c r="C63" s="690" t="inlineStr">
        <is>
          <t>Đã xoá (ẩn khỏi danh sách)</t>
        </is>
      </c>
      <c r="D63" s="690" t="inlineStr">
        <is>
          <t>UC1 - không hiển thị gói Đã xoá, badge</t>
        </is>
      </c>
    </row>
    <row r="64" ht="32" customHeight="1" s="668">
      <c r="A64" s="690" t="inlineStr">
        <is>
          <t>Đang kinh doanh</t>
        </is>
      </c>
      <c r="B64" s="690" t="inlineStr">
        <is>
          <t>Xoá (KHÔNG hợp lệ)</t>
        </is>
      </c>
      <c r="C64" s="690" t="inlineStr">
        <is>
          <t>Giữ nguyên</t>
        </is>
      </c>
      <c r="D64" s="690" t="inlineStr">
        <is>
          <t>UC1 - icon xoá theo trạng thái</t>
        </is>
      </c>
    </row>
    <row r="65" ht="32" customHeight="1" s="668">
      <c r="A65" s="690" t="inlineStr">
        <is>
          <t>Loại gói: Đang hoạt động</t>
        </is>
      </c>
      <c r="B65" s="690" t="inlineStr">
        <is>
          <t>Xoá loại gói</t>
        </is>
      </c>
      <c r="C65" s="690" t="inlineStr">
        <is>
          <t>Đã xoá (ẩn dòng cha)</t>
        </is>
      </c>
      <c r="D65" s="690" t="inlineStr">
        <is>
          <t>UC1 - loại gói bị xoá biến mất</t>
        </is>
      </c>
    </row>
    <row r="66" ht="32" customHeight="1" s="668">
      <c r="A66" s="690" t="inlineStr">
        <is>
          <t>Dòng cha: Thu gọn</t>
        </is>
      </c>
      <c r="B66" s="690" t="inlineStr">
        <is>
          <t>Click ⌄</t>
        </is>
      </c>
      <c r="C66" s="690" t="inlineStr">
        <is>
          <t>Mở rộng</t>
        </is>
      </c>
      <c r="D66" s="690" t="inlineStr">
        <is>
          <t>UC1 - Nút Đóng/Mở rộng</t>
        </is>
      </c>
    </row>
    <row r="67" ht="32" customHeight="1" s="668">
      <c r="A67" s="690" t="inlineStr">
        <is>
          <t>Dòng cha: Mở rộng</t>
        </is>
      </c>
      <c r="B67" s="690" t="inlineStr">
        <is>
          <t>Click ⌃ / F5</t>
        </is>
      </c>
      <c r="C67" s="690" t="inlineStr">
        <is>
          <t>Thu gọn</t>
        </is>
      </c>
      <c r="D67" s="690" t="inlineStr">
        <is>
          <t>UC1 - Nút Đóng/Mở rộng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2026-09-24T04:29:47Z</dcterms:created>
  <dcterms:modified xmlns:dcterms="http://purl.org/dc/terms/" xmlns:xsi="http://www.w3.org/2001/XMLSchema-instance" xsi:type="dcterms:W3CDTF">2026-09-24T04:29:50Z</dcterms:modified>
</cp:coreProperties>
</file>