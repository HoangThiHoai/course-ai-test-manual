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f1ae0ab2329dbf8/Desktop/CUA_EM_HOAI/AI Study/course-ai-test-manual/docs/testcases/goi-cuoc/web/"/>
    </mc:Choice>
  </mc:AlternateContent>
  <xr:revisionPtr revIDLastSave="1" documentId="11_6F262AA7CEFBFE78783113B55C9BA6BA712D7256" xr6:coauthVersionLast="47" xr6:coauthVersionMax="47" xr10:uidLastSave="{731CD74C-DEE7-4914-A100-B25DB61B8807}"/>
  <bookViews>
    <workbookView xWindow="7200" yWindow="3645" windowWidth="21600" windowHeight="11295" xr2:uid="{00000000-000D-0000-FFFF-FFFF00000000}"/>
  </bookViews>
  <sheets>
    <sheet name="CMS-Quản lý gói cước" sheetId="1" r:id="rId1"/>
    <sheet name="Kỹ thuật thiết kế TC"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3" i="1" l="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6" i="1"/>
  <c r="A515" i="1"/>
  <c r="A514" i="1"/>
  <c r="A513" i="1"/>
  <c r="A512" i="1"/>
  <c r="A511" i="1"/>
  <c r="A510" i="1"/>
  <c r="A509" i="1"/>
  <c r="A507" i="1"/>
  <c r="A506" i="1"/>
  <c r="A505" i="1"/>
  <c r="A504" i="1"/>
  <c r="A503" i="1"/>
  <c r="A502" i="1"/>
  <c r="A501" i="1"/>
  <c r="A500" i="1"/>
  <c r="A499"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1" i="1"/>
  <c r="A470" i="1"/>
  <c r="A469" i="1"/>
  <c r="A468" i="1"/>
  <c r="A467" i="1"/>
  <c r="A466" i="1"/>
  <c r="A465" i="1"/>
  <c r="A464" i="1"/>
  <c r="A463" i="1"/>
  <c r="A462" i="1"/>
  <c r="A461" i="1"/>
  <c r="A457" i="1"/>
  <c r="A456" i="1"/>
  <c r="A455" i="1"/>
  <c r="A454" i="1"/>
  <c r="A453" i="1"/>
  <c r="A451" i="1"/>
  <c r="A450" i="1"/>
  <c r="A449" i="1"/>
  <c r="A448" i="1"/>
  <c r="A447" i="1"/>
  <c r="A446" i="1"/>
  <c r="A445" i="1"/>
  <c r="A444" i="1"/>
  <c r="A443" i="1"/>
  <c r="A442" i="1"/>
  <c r="A441" i="1"/>
  <c r="A440" i="1"/>
  <c r="A439" i="1"/>
  <c r="A438" i="1"/>
  <c r="A437" i="1"/>
  <c r="A436" i="1"/>
  <c r="A435" i="1"/>
  <c r="A433" i="1"/>
  <c r="A432" i="1"/>
  <c r="A431" i="1"/>
  <c r="A430" i="1"/>
  <c r="A429" i="1"/>
  <c r="A428" i="1"/>
  <c r="A427" i="1"/>
  <c r="A426" i="1"/>
  <c r="A425" i="1"/>
  <c r="A424" i="1"/>
  <c r="A422" i="1"/>
  <c r="A421" i="1"/>
  <c r="A420" i="1"/>
  <c r="A419" i="1"/>
  <c r="A418" i="1"/>
  <c r="A417" i="1"/>
  <c r="A416" i="1"/>
  <c r="A415" i="1"/>
  <c r="A414" i="1"/>
  <c r="A413" i="1"/>
  <c r="A412" i="1"/>
  <c r="A411" i="1"/>
  <c r="A410" i="1"/>
  <c r="A409" i="1"/>
  <c r="A408" i="1"/>
  <c r="A406" i="1"/>
  <c r="A405" i="1"/>
  <c r="A404" i="1"/>
  <c r="A403" i="1"/>
  <c r="A402" i="1"/>
  <c r="A401" i="1"/>
  <c r="A400" i="1"/>
  <c r="A399" i="1"/>
  <c r="A398" i="1"/>
  <c r="A397" i="1"/>
  <c r="A396" i="1"/>
  <c r="A395" i="1"/>
  <c r="A394" i="1"/>
  <c r="A393" i="1"/>
  <c r="A392" i="1"/>
  <c r="A391" i="1"/>
  <c r="A390" i="1"/>
  <c r="A389" i="1"/>
  <c r="A386" i="1"/>
  <c r="A385" i="1"/>
  <c r="A384" i="1"/>
  <c r="A383" i="1"/>
  <c r="A382" i="1"/>
  <c r="A378" i="1"/>
  <c r="A377" i="1"/>
  <c r="A376" i="1"/>
  <c r="A375" i="1"/>
  <c r="A374" i="1"/>
  <c r="A373" i="1"/>
  <c r="A372" i="1"/>
  <c r="A371" i="1"/>
  <c r="A370" i="1"/>
  <c r="A369" i="1"/>
  <c r="A368" i="1"/>
  <c r="A367" i="1"/>
  <c r="A366" i="1"/>
  <c r="A365" i="1"/>
  <c r="A364" i="1"/>
  <c r="A363" i="1"/>
  <c r="A362" i="1"/>
  <c r="A361"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3" i="1"/>
  <c r="A252" i="1"/>
  <c r="A251" i="1"/>
  <c r="A250" i="1"/>
  <c r="A249" i="1"/>
  <c r="A248" i="1"/>
  <c r="A247" i="1"/>
  <c r="A246" i="1"/>
  <c r="A245" i="1"/>
  <c r="A241" i="1"/>
  <c r="A240" i="1"/>
  <c r="A239" i="1"/>
  <c r="A238" i="1"/>
  <c r="A237" i="1"/>
  <c r="A236" i="1"/>
  <c r="A234" i="1"/>
  <c r="A233" i="1"/>
  <c r="A232" i="1"/>
  <c r="A231" i="1"/>
  <c r="A230" i="1"/>
  <c r="A229" i="1"/>
  <c r="A228" i="1"/>
  <c r="A227" i="1"/>
  <c r="A226" i="1"/>
  <c r="A225" i="1"/>
  <c r="A224" i="1"/>
  <c r="A223" i="1"/>
  <c r="A222" i="1"/>
  <c r="A221" i="1"/>
  <c r="A220" i="1"/>
  <c r="A219" i="1"/>
  <c r="A218"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2" i="1"/>
  <c r="A111" i="1"/>
  <c r="A110" i="1"/>
  <c r="A109" i="1"/>
  <c r="A108" i="1"/>
  <c r="A107" i="1"/>
  <c r="A106" i="1"/>
  <c r="A105" i="1"/>
  <c r="A104" i="1"/>
  <c r="A103" i="1"/>
  <c r="A102" i="1"/>
  <c r="A101"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0" i="1"/>
  <c r="A59" i="1"/>
  <c r="A58" i="1"/>
  <c r="A57" i="1"/>
  <c r="A56" i="1"/>
  <c r="A55" i="1"/>
  <c r="A54" i="1"/>
  <c r="A53" i="1"/>
  <c r="A52" i="1"/>
  <c r="A51" i="1"/>
  <c r="A50" i="1"/>
  <c r="A49" i="1"/>
  <c r="A48" i="1"/>
  <c r="A47" i="1"/>
  <c r="A46" i="1"/>
  <c r="A45" i="1"/>
  <c r="A44" i="1"/>
  <c r="A43" i="1"/>
  <c r="A42" i="1"/>
  <c r="A41" i="1"/>
  <c r="A40" i="1"/>
  <c r="A39" i="1"/>
  <c r="A38" i="1"/>
  <c r="A37" i="1"/>
  <c r="A36" i="1"/>
  <c r="A35" i="1"/>
  <c r="A33" i="1"/>
  <c r="A32" i="1"/>
  <c r="A31" i="1"/>
  <c r="A30" i="1"/>
  <c r="A29" i="1"/>
  <c r="A28" i="1"/>
  <c r="A27" i="1"/>
  <c r="A26" i="1"/>
  <c r="A25" i="1"/>
  <c r="A24" i="1"/>
  <c r="A23" i="1"/>
  <c r="A21" i="1"/>
  <c r="A20" i="1"/>
  <c r="A19" i="1"/>
  <c r="A18" i="1"/>
  <c r="A17" i="1"/>
  <c r="A16" i="1"/>
  <c r="C8" i="1"/>
  <c r="C7" i="1"/>
  <c r="C6" i="1"/>
</calcChain>
</file>

<file path=xl/sharedStrings.xml><?xml version="1.0" encoding="utf-8"?>
<sst xmlns="http://schemas.openxmlformats.org/spreadsheetml/2006/main" count="2407" uniqueCount="1942">
  <si>
    <t>TỔNG CÔNG TY CỔ PHẦN BƯU CHÍNH VIETTEL
  KỊCH BẢN KIỂM THỬ</t>
  </si>
  <si>
    <t>Chức năng</t>
  </si>
  <si>
    <t>Quản lý gói cước</t>
  </si>
  <si>
    <t>Link TL + task</t>
  </si>
  <si>
    <t>ID</t>
  </si>
  <si>
    <t>TC</t>
  </si>
  <si>
    <t>Người tạo</t>
  </si>
  <si>
    <t>Số lượng Testcase</t>
  </si>
  <si>
    <t>Số testcase đạt (Pass)</t>
  </si>
  <si>
    <t>Số testcase không đạt (Fail)</t>
  </si>
  <si>
    <t>Số testcase N/A</t>
  </si>
  <si>
    <t>Số testcase Pending</t>
  </si>
  <si>
    <t>Mục đích</t>
  </si>
  <si>
    <t>Các bước thực hiện kiểm thử</t>
  </si>
  <si>
    <t>Kết quả mong muốn</t>
  </si>
  <si>
    <t>Trạng thái</t>
  </si>
  <si>
    <t>Ghi chú</t>
  </si>
  <si>
    <t>UC1: (CMS admin) Chức năng Xem danh sách gói cước</t>
  </si>
  <si>
    <t>Pre-condition: 
 Bước 1: Admin đăng nhập thành công vào hệ thống CMS, tài khoản có quyền xem phân hệ Gói cước
 Bước 2: Click menu Quản lý tính năng dịch vụ &gt; Quản lý gói cước &gt; Quản lý gói cước</t>
  </si>
  <si>
    <t>Kiểm tra gui UI/UX</t>
  </si>
  <si>
    <t>Kiểm tra UI</t>
  </si>
  <si>
    <t>Kiểm tra hiển thị giao diện mặc định</t>
  </si>
  <si>
    <t>1. Kiểm tra hiển thị màn hình Quản lý gói cước</t>
  </si>
  <si>
    <t>1. Hiển thị màn hình giống design gồm:
 + Tiêu đề: Quản lý gói cước
 + Button Thêm gói cước
 + Ô tìm kiếm
 + Button Xuất file excel, Cài đặt bảng, icon Bộ lọc
 + Bảng danh sách dạng nhóm Loại gói cước - Gói cước
 + Vùng phân trang</t>
  </si>
  <si>
    <t>Pass</t>
  </si>
  <si>
    <t>Kiểm tra tổng thể giao diện màn hình</t>
  </si>
  <si>
    <t>1. Kiểm tra về bố cục, font chữ, chính tả, màu chữ</t>
  </si>
  <si>
    <t>1. 
 - Các label, có độ dài, rộng và khoảng cách bằng nhau, không xô lệch
 - Các label sử dụng cùng 1 loại font, cỡ chữ, căn lề
 - Kiểm tra tất cả lỗi về chính tả, cấu trúc câu, ngữ pháp trên màn hình
 - Form được bố trí hợp lý và dễ sử dụng</t>
  </si>
  <si>
    <t>Kiểm tra thứ tự di chuyển trỏ trên màn hình khi nhấn phím Tab</t>
  </si>
  <si>
    <t>1. Nhấn Tab liên tục</t>
  </si>
  <si>
    <t>1. Con trỏ di chuyển lần lượt theo thứ tự: Từ trái qua phải, từ trên xuống dưới</t>
  </si>
  <si>
    <t>Kiểm tra thứ tự con trỏ di chuyển ngược lại trên màn hình khi nhấn Shift-Tab</t>
  </si>
  <si>
    <t>1. Nhấn phím Shift-Tab liên tục</t>
  </si>
  <si>
    <t>1. Con trỏ di chuyển ngược lại theo thứ tự: từ dưới lên trên, từ phải qua trái</t>
  </si>
  <si>
    <t>Kiểm tra giao diện khi thu nhỏ, phóng to</t>
  </si>
  <si>
    <t>1. Trên màn hình chức năng
 2. Nhấn tổ hợp phím Ctrl -
 3. Nhấn tổ hợp phím Ctrl +</t>
  </si>
  <si>
    <t>3. Màn hình thu nhỏ, phóng to tương ứng và không bị vỡ giao diện</t>
  </si>
  <si>
    <t>Kiểm tra hiển thị menu đang chọn trên sidebar</t>
  </si>
  <si>
    <t>1. Kiểm tra menu Quản lý gói cước trên sidebar</t>
  </si>
  <si>
    <t>1. Menu con Quản lý gói cước được highlight (đang chọn), nhóm menu Quản lý gói cước ở trạng thái mở rộng</t>
  </si>
  <si>
    <t>Vùng Tiêu đề &amp; Thanh công cụ</t>
  </si>
  <si>
    <t>Tiêu đề trang</t>
  </si>
  <si>
    <t>Kiểm tra text tiêu đề trang</t>
  </si>
  <si>
    <t>1. Kiểm tra tiêu đề màn hình</t>
  </si>
  <si>
    <t>1. Hiển thị tiêu đề: Quản lý gói cước</t>
  </si>
  <si>
    <t>Button Thêm gói cước</t>
  </si>
  <si>
    <t>Kiểm tra hiển thị button Thêm gói cước</t>
  </si>
  <si>
    <t>1. Kiểm tra hiển thị button Thêm gói cước góc phải trên</t>
  </si>
  <si>
    <t>1. Hiển thị button text "Thêm gói cước", trạng thái enable</t>
  </si>
  <si>
    <t>Kiểm tra khi click button Thêm gói cước trên thanh công cụ</t>
  </si>
  <si>
    <t>1. Click button Thêm gói cước</t>
  </si>
  <si>
    <t>1. 
 - Điều hướng đến màn Tạo gói cước mới
 - Trường Loại gói cước để trống, cho phép chọn loại gói</t>
  </si>
  <si>
    <t>Ô tìm kiếm</t>
  </si>
  <si>
    <t>Kiểm tra hiển thị mặc định ô tìm kiếm</t>
  </si>
  <si>
    <t>1. Kiểm tra ô tìm kiếm</t>
  </si>
  <si>
    <t>1. Mặc định trống, hiển thị placeholder: "Tìm kiếm theo tên, mã gói cước..."</t>
  </si>
  <si>
    <t>Kiểm tra nhập dữ liệu vào ô tìm kiếm</t>
  </si>
  <si>
    <t>1. Nhập "OAPLUS" vào ô tìm kiếm</t>
  </si>
  <si>
    <t>1. Cho phép nhập, hiển thị đúng dữ liệu vừa nhập</t>
  </si>
  <si>
    <t xml:space="preserve">Cần CF: Chưa validate giới hạn ký tự nhập, </t>
  </si>
  <si>
    <t>Button Xuất file excel</t>
  </si>
  <si>
    <t>Kiểm tra hiển thị button Xuất file excel</t>
  </si>
  <si>
    <t>1. Kiểm tra button Xuất file excel</t>
  </si>
  <si>
    <t>1. Hiển thị button viền, icon bảng tính màu xanh lá + text "Xuất file excel", trạng thái enable</t>
  </si>
  <si>
    <t>Kiểm tra khi click button Xuất file excel</t>
  </si>
  <si>
    <t>1. Click button Xuất file excel</t>
  </si>
  <si>
    <t>1. Thực hiện chức năng xuất file excel theo UC Xuất file excel</t>
  </si>
  <si>
    <t>N/A</t>
  </si>
  <si>
    <t>SRS chưa mô tả UC xuất excel
==&gt; BA CF hiện tính năng đang phát triển</t>
  </si>
  <si>
    <t>Button Cài đặt bảng</t>
  </si>
  <si>
    <t>Kiểm tra hiển thị button Cài đặt bảng</t>
  </si>
  <si>
    <t>1. Kiểm tra button Cài đặt bảng</t>
  </si>
  <si>
    <t>1. Hiển thị button viền, icon bánh răng + text "Cài đặt bảng", trạng thái enable</t>
  </si>
  <si>
    <t>Kiểm tra khi click button Cài đặt bảng</t>
  </si>
  <si>
    <t>1. Click button Cài đặt bảng</t>
  </si>
  <si>
    <t>1. Hiển thị popup cấu hình ẩn/hiện các cột dữ liệu của bảng danh sách gói cước</t>
  </si>
  <si>
    <t>Chưa có popup Cấu hình ẩn/hiện các cột khi click Button Cài đặt bảng</t>
  </si>
  <si>
    <t>Icon Bộ lọc</t>
  </si>
  <si>
    <t>Kiểm tra hiển thị icon Bộ lọc</t>
  </si>
  <si>
    <t>1. Kiểm tra icon Bộ lọc</t>
  </si>
  <si>
    <t>1. Hiển thị icon phễu lọc, trạng thái enable</t>
  </si>
  <si>
    <t>Kiểm tra khi click icon Bộ lọc</t>
  </si>
  <si>
    <t>1. Click icon Bộ lọc</t>
  </si>
  <si>
    <t>1. Mở tab bộ lọc</t>
  </si>
  <si>
    <t>Vùng danh sách - Dòng cha Loại gói cước</t>
  </si>
  <si>
    <t>Danh sách chưa có dữ liệu</t>
  </si>
  <si>
    <t>Kiểm tra hiển thị khi hệ thống chưa có loại gói cước nào</t>
  </si>
  <si>
    <t>ĐK: Hệ thống chưa có loại gói cước nào (hoặc tất cả ở trạng thái Đã xoá)
 1. Truy cập màn hình Quản lý gói cước
 2. Kiểm tra vùng danh sách</t>
  </si>
  <si>
    <t>2. Không hiển thị bảng dữ liệu. Hiển thị text "Danh sách trống"</t>
  </si>
  <si>
    <t>Danh sách đã có dữ liệu</t>
  </si>
  <si>
    <t>Kiểm tra hiển thị danh sách dạng nhóm Cha - Con</t>
  </si>
  <si>
    <t>ĐK: Hệ thống có loại gói cước và gói cước
 1. Truy cập màn hình Quản lý gói cước
 2. Kiểm tra vùng danh sách</t>
  </si>
  <si>
    <t>2. Hiển thị danh sách dạng nhóm: dòng cha là Loại gói cước, bên dưới là bảng con gói cước trực thuộc</t>
  </si>
  <si>
    <t>Trạng thái Thu gọn/Mở rộng mặc định</t>
  </si>
  <si>
    <t>Kiểm tra trạng thái mặc định của các dòng cha khi tải trang</t>
  </si>
  <si>
    <t>1. Truy cập màn hình Quản lý gói cước
 2. Kiểm tra các dòng Loại gói cước</t>
  </si>
  <si>
    <t>2. 
 - Tất cả dòng cha ở trạng thái thu gọn, chỉ thấy dòng cha
 - Icon mũi tên hướng xuống ⌄</t>
  </si>
  <si>
    <t>Design đang thể hiện trạng thái mở rộng ==&gt; Thiếu design Thu gọn</t>
  </si>
  <si>
    <t>Nút Thu gọn/ Mở rộng</t>
  </si>
  <si>
    <t>Kiểm tra click mở rộng dòng cha đang thu gọn</t>
  </si>
  <si>
    <t>ĐK: Dòng cha đang thu gọn
 1. Click icon mũi tên ⌄ tại dòng Loại gói cước</t>
  </si>
  <si>
    <t>1. 
 - Hiển thị bảng con danh sách gói cước thuộc loại gói đó
 - Icon đổi thành mũi tên hướng lên ⌃</t>
  </si>
  <si>
    <t>Kiểm tra click thu gọn dòng cha đang mở rộng</t>
  </si>
  <si>
    <t>ĐK: Dòng cha đang mở rộng
 1. Click icon mũi tên ⌃ tại dòng Loại gói cước</t>
  </si>
  <si>
    <t>1. 
 - Ẩn bảng con danh sách gói cước
 - Icon đổi thành mũi tên hướng xuống ⌄</t>
  </si>
  <si>
    <t>Kiểm tra mở rộng đồng thời nhiều dòng cha</t>
  </si>
  <si>
    <t>1. Click mở rộng Loại gói A
 2. Click mở rộng Loại gói B</t>
  </si>
  <si>
    <t>2. Cả 2 dòng cha cùng mở rộng, mở dòng B không làm thu gọn dòng A</t>
  </si>
  <si>
    <t>Kiểm tra mở rộng loại gói cước chưa có gói cước con</t>
  </si>
  <si>
    <t>ĐK: Loại gói cước chưa có gói cước nào (badge = 0)
 1. Click mở rộng dòng loại gói đó</t>
  </si>
  <si>
    <t>1. 
 - Bảng con không có dòng gói cước nào
 - Vẫn hiển thị link "+ Thêm gói cước"</t>
  </si>
  <si>
    <t>Fail</t>
  </si>
  <si>
    <t>Kiểm tra trạng thái thu gọn/mở rộng sau khi tải lại trang</t>
  </si>
  <si>
    <t>ĐK: Đang mở rộng 1 dòng cha
 1. Nhấn F5 tải lại trang</t>
  </si>
  <si>
    <t>1. Tất cả dòng cha trở về trạng thái thu gọn mặc định</t>
  </si>
  <si>
    <t>Loại gói cước</t>
  </si>
  <si>
    <t>Kiểm tra hiển thị tên loại gói cước trên dòng cha</t>
  </si>
  <si>
    <t>1. Kiểm tra thông tin tên loại gói trên dòng cha</t>
  </si>
  <si>
    <t>1. Hiển thị "Tên loại gói: &lt;Tên loại gói cước&gt;" đúng dữ liệu đã tạo tại Quản lý loại gói cước</t>
  </si>
  <si>
    <t>Kiểm tra dòng cha chỉ hiển thị loại gói cước khác trạng thái Đã xoá</t>
  </si>
  <si>
    <t>ĐK: Có loại gói A trạng thái Đang hoạt động, loại gói B trạng thái Đã xoá
 1. Kiểm tra danh sách dòng cha</t>
  </si>
  <si>
    <t>1. 
 - Hiển thị loại gói A
 - Không hiển thị loại gói B</t>
  </si>
  <si>
    <t>Kiểm tra loại gói cước vừa bị xoá biến mất khỏi danh sách</t>
  </si>
  <si>
    <t>ĐK: Loại gói A đang hiển thị
 1. Xoá loại gói A tại Quản lý loại gói cước
 2. Quay lại màn Quản lý gói cước</t>
  </si>
  <si>
    <t>2. Không còn hiển thị dòng cha loại gói A</t>
  </si>
  <si>
    <t>Kiểm tra loại gói cước mới tạo hiển thị trên danh sách</t>
  </si>
  <si>
    <t>1. Tạo mới loại gói cước tại Quản lý loại gói cước
 2. Quay lại màn Quản lý gói cước</t>
  </si>
  <si>
    <t>2. Hiển thị dòng cha loại gói vừa tạo, badge số lượng = 0, đúng vị trí sắp xếp mặc định</t>
  </si>
  <si>
    <t>Kiểm tra thứ tự hiển thị mặc định các dòng cha</t>
  </si>
  <si>
    <t>ĐK: Có nhiều loại gói cước thuộc loại dịch vụ khác nhau (OA, Meeting, Thiết bị)
 1. Kiểm tra thứ tự dòng cha</t>
  </si>
  <si>
    <t>1. Thứ tự mặc định sắp xếp theo tên loại dịch vụ từ A-Z</t>
  </si>
  <si>
    <t>nêu thứ tự phụ khi cùng loại dịch vụ thì sort tiếp như nào</t>
  </si>
  <si>
    <t>Badge số lượng</t>
  </si>
  <si>
    <t>Kiểm tra badge số lượng gói cước của loại gói</t>
  </si>
  <si>
    <t>ĐK: Loại gói A có 3 gói cước khác trạng thái Đã xoá
 1. Kiểm tra badge cạnh tên loại gói A</t>
  </si>
  <si>
    <t>1. Badge hiển thị số 3</t>
  </si>
  <si>
    <t>Kiểm tra badge không tính gói cước trạng thái Đã xoá</t>
  </si>
  <si>
    <t>ĐK: Loại gói A có 3 gói (Nháp, Đang kinh doanh, Ngừng kinh doanh) và 1 gói Đã xoá
 1. Kiểm tra badge</t>
  </si>
  <si>
    <t>Kiểm tra badge cập nhật sau khi thêm mới gói cước</t>
  </si>
  <si>
    <t>ĐK: Badge loại gói A đang là X
 1. Tạo mới 1 gói cước thuộc loại gói A
 2. Quay lại danh sách</t>
  </si>
  <si>
    <t>2. Badge loại gói A hiển thị X+1</t>
  </si>
  <si>
    <t>Kiểm tra badge cập nhật sau khi xoá gói cước</t>
  </si>
  <si>
    <t>ĐK: Badge loại gói A đang là X
 1. Xoá 1 gói cước Nháp thuộc loại gói A
 2. Kiểm tra badge</t>
  </si>
  <si>
    <t>2. Badge loại gói A hiển thị X-1</t>
  </si>
  <si>
    <t>Kiểm tra badge khi loại gói chưa có gói cước</t>
  </si>
  <si>
    <t>ĐK: Loại gói A chưa có gói cước
 1. Kiểm tra badge</t>
  </si>
  <si>
    <t>1. Badge hiển thị số 0</t>
  </si>
  <si>
    <t>Loại dịch vụ</t>
  </si>
  <si>
    <t>Kiểm tra hiển thị loại dịch vụ trên dòng cha</t>
  </si>
  <si>
    <t>1. Kiểm tra thông tin loại dịch vụ</t>
  </si>
  <si>
    <t>1. Hiển thị "Loại dịch vụ: &lt;giá trị&gt;" đúng loại dịch vụ của loại gói cước (OA, Meeting, Thiết bị...)</t>
  </si>
  <si>
    <t>Loại hình OA áp dụng</t>
  </si>
  <si>
    <t>Kiểm tra hiển thị Loại hình OA áp dụng khi loại dịch vụ = OA</t>
  </si>
  <si>
    <t>ĐK: Loại gói có loại dịch vụ = OA
 1. Kiểm tra dòng cha</t>
  </si>
  <si>
    <t>1. Hiển thị "Loại hình OA áp dụng: &lt;tên loại hình&gt;" sắp xếp tên A-Z, cách nhau dấu ";"</t>
  </si>
  <si>
    <t>Kiểm tra ẩn Loại hình OA áp dụng khi loại dịch vụ khác OA</t>
  </si>
  <si>
    <t>ĐK: Loại gói có loại dịch vụ = Thiết bị
 1. Kiểm tra dòng cha</t>
  </si>
  <si>
    <t>1. Không hiển thị thông tin Loại hình OA áp dụng</t>
  </si>
  <si>
    <t>Kiểm tra Loại hình OA áp dụng dài quá 20 ký tự</t>
  </si>
  <si>
    <t>ĐK: Chuỗi loại hình OA áp dụng dài 21 ký tự
 1. Kiểm tra hiển thị</t>
  </si>
  <si>
    <t>1. Hiển thị 20 ký tự đầu, phần còn lại thay bằng "…"</t>
  </si>
  <si>
    <t>Kiểm tra Loại hình OA áp dụng đúng 20 ký tự</t>
  </si>
  <si>
    <t>ĐK: Chuỗi loại hình OA áp dụng dài 20 ký tự
 1. Kiểm tra hiển thị</t>
  </si>
  <si>
    <t>1. Hiển thị đầy đủ 20 ký tự, không có "…"</t>
  </si>
  <si>
    <t>Danh mục OA áp dụng</t>
  </si>
  <si>
    <t>Kiểm tra hiển thị Danh mục OA áp dụng khi loại dịch vụ = OA</t>
  </si>
  <si>
    <t>1. Hiển thị "Danh mục OA áp dụng: &lt;tên danh mục&gt;" sắp xếp tên A-Z, cách nhau dấu ";"</t>
  </si>
  <si>
    <t>Kiểm tra ẩn Danh mục OA áp dụng khi loại dịch vụ khác OA</t>
  </si>
  <si>
    <t>ĐK: Loại gói có loại dịch vụ = Meeting
 1. Kiểm tra dòng cha</t>
  </si>
  <si>
    <t>1. Không hiển thị thông tin Danh mục OA áp dụng</t>
  </si>
  <si>
    <t>Kiểm tra Danh mục OA áp dụng dài quá 20 ký tự</t>
  </si>
  <si>
    <t>ĐK: Chuỗi danh mục OA áp dụng dài 21 ký tự
 1. Kiểm tra hiển thị</t>
  </si>
  <si>
    <t>Vùng danh sách - Bảng gói cước (dòng con)</t>
  </si>
  <si>
    <t>Header bảng con</t>
  </si>
  <si>
    <t>Kiểm tra các cột của bảng danh sách gói cước</t>
  </si>
  <si>
    <t>ĐK: Mở rộng 1 dòng cha
 1. Kiểm tra header bảng</t>
  </si>
  <si>
    <t>1. Hiển thị các cột: Mã gói, Chu kỳ, Giá gốc (VNĐ), Kênh bán, Loại hình, Gian hạn tự động, Trạng thái, Thời gian cập nhật, Người cập nhật, Thao tác</t>
  </si>
  <si>
    <t xml:space="preserve">Mục QL gói cước - UC danh sách gói cước STT 14-22. Design có thêm cột "Gia hạn tự động" không có trong SRS </t>
  </si>
  <si>
    <t>Kiểm tra cột Thao tác cố định khi cuộn ngang bảng</t>
  </si>
  <si>
    <t>ĐK: Bảng có nhiều cột vượt độ rộng màn hình
 1. Cuộn ngang bảng</t>
  </si>
  <si>
    <t>1. Cột Thao tác luôn hiển thị cố định bên phải, các cột khác cuộn bình thường, không vỡ layout</t>
  </si>
  <si>
    <t>Danh sách gói cước con</t>
  </si>
  <si>
    <t>Kiểm tra bảng con chỉ hiển thị gói cước khác trạng thái Đã xoá</t>
  </si>
  <si>
    <t>ĐK: Loại gói A có gói Nháp, Đã phát hành, Đang kinh doanh, Ngừng kinh doanh và 1 gói Đã xoá
 1. Mở rộng loại gói A</t>
  </si>
  <si>
    <t>1. 
 - Hiển thị 4 gói ở trạng thái Nháp, Đã phát hành, Đang kinh doanh, Ngừng kinh doanh
 - Không hiển thị gói Đã xoá</t>
  </si>
  <si>
    <t>Kiểm tra gói cước chỉ hiển thị dưới đúng loại gói cước của nó</t>
  </si>
  <si>
    <t>1. Mở rộng loại gói A và loại gói B
 2. Đối chiếu gói cước với dữ liệu DB</t>
  </si>
  <si>
    <t>2. Gói cước hiển thị đúng dưới loại gói cước sở hữu, không lẫn sang loại gói khác</t>
  </si>
  <si>
    <t>Kiểm tra thứ tự mặc định các gói cước con</t>
  </si>
  <si>
    <t>ĐK: Loại gói A có gói chu kỳ 12 tháng, 7 ngày, 1 năm, 2 tuần
 1. Mở rộng loại gói A</t>
  </si>
  <si>
    <t>1. Sắp xếp theo chu kỳ quy đổi ra ngày từ bé đến lớn: 7 ngày, 2 tuần, 12 tháng, 1 năm</t>
  </si>
  <si>
    <t>Cột Mã gói</t>
  </si>
  <si>
    <t>Kiểm tra hiển thị cột Mã gói</t>
  </si>
  <si>
    <t>1. Kiểm tra dữ liệu cột Mã gói</t>
  </si>
  <si>
    <t>1. Hiển thị mã gói dạng text in hoa, đúng mã đã tạo</t>
  </si>
  <si>
    <t>Sắp xếp cột (dòng con)</t>
  </si>
  <si>
    <t>Kiểm tra sắp xếp cột Mã gói tăng dần</t>
  </si>
  <si>
    <t>1. Mở rộng 1 loại gói
 2. Click icon ⇅ tại cột Mã gói 1 lần</t>
  </si>
  <si>
    <t>2. Danh sách gói con của loại gói đó sắp xếp theo Mã gói A-Z</t>
  </si>
  <si>
    <t>Kiểm tra sắp xếp cột Mã gói giảm dần</t>
  </si>
  <si>
    <t>1. Click icon ⇅ tại cột Mã gói 2 lần</t>
  </si>
  <si>
    <t>1. Danh sách gói con sắp xếp theo Mã gói Z-A</t>
  </si>
  <si>
    <t>Kiểm tra sắp xếp cột Chu kỳ</t>
  </si>
  <si>
    <t>1. Click icon ⇅ tại cột Chu kỳ
 2. Click lại lần 2</t>
  </si>
  <si>
    <t>1. Sắp xếp chu kỳ bé đến lớn
 2. Sắp xếp chu kỳ lớn đến bé</t>
  </si>
  <si>
    <t>Kiểm tra sắp xếp cột Giá gốc</t>
  </si>
  <si>
    <t>1. Click icon ⇅ tại cột Giá gốc
 2. Click lại lần 2</t>
  </si>
  <si>
    <t>1. Sắp xếp giá bé đến lớn
 2. Sắp xếp giá lớn đến bé</t>
  </si>
  <si>
    <t>Kiểm tra sắp xếp cột Kênh bán</t>
  </si>
  <si>
    <t>1. Click icon ⇅ tại cột Kênh bán
 2. Click lại lần 2</t>
  </si>
  <si>
    <t>1. Sắp xếp tên kênh A-Z
 2. Sắp xếp tên kênh Z-A</t>
  </si>
  <si>
    <t>Kiểm tra sắp xếp cột Loại hình</t>
  </si>
  <si>
    <t>1. Click icon ⇅ tại cột Loại hình
 2. Click lại lần 2</t>
  </si>
  <si>
    <t>1. Sắp xếp tên loại hình A-Z
 2. Sắp xếp Z-A</t>
  </si>
  <si>
    <t>Kiểm tra sắp xếp cột Trạng thái</t>
  </si>
  <si>
    <t>1. Click icon ⇅ tại cột Trạng thái
 2. Click lại lần 2</t>
  </si>
  <si>
    <t>1. Sắp xếp theo thứ tự: Nháp → Đã phát hành → Đang kinh doanh → Ngừng kinh doanh
 2. Sắp xếp theo thứ tự ngược lại</t>
  </si>
  <si>
    <t>Kiểm tra sắp xếp cột Thời gian cập nhật</t>
  </si>
  <si>
    <t>1. Click icon ⇅ tại cột Thời gian cập nhật
 2. Click lại lần 2</t>
  </si>
  <si>
    <t>1. Sắp xếp từ gần đến xa
 2. Sắp xếp từ xa đến gần</t>
  </si>
  <si>
    <t>Kiểm tra sắp xếp cột Người cập nhật</t>
  </si>
  <si>
    <t>1. Click icon ⇅ tại cột Người cập nhật
 2. Click lại lần 2</t>
  </si>
  <si>
    <t>1. Sắp xếp tên A-Z
 2. Sắp xếp tên Z-A</t>
  </si>
  <si>
    <t>Kiểm tra sắp xếp chỉ áp dụng cục bộ trong loại gói đang thao tác</t>
  </si>
  <si>
    <t>ĐK: Mở rộng loại gói A và B
 1. Click sắp xếp cột Giá gốc tại bảng con loại gói A</t>
  </si>
  <si>
    <t>1. 
 - Chỉ danh sách gói con của loại gói A thay đổi thứ tự
 - Bảng con loại gói B và thứ tự dòng cha không đổi</t>
  </si>
  <si>
    <t>Cột Chu kỳ</t>
  </si>
  <si>
    <t>Kiểm tra định dạng cột Chu kỳ</t>
  </si>
  <si>
    <t>1. Kiểm tra dữ liệu cột Chu kỳ</t>
  </si>
  <si>
    <t>1. Hiển thị [Số] [Đơn vị], VD: 7 tháng, 12 tháng, 24 tháng</t>
  </si>
  <si>
    <t>Kiểm tra hiển thị chu kỳ theo từng đơn vị</t>
  </si>
  <si>
    <t>ĐK: Có gói chu kỳ đơn vị Ngày, Tuần, Tháng, Năm
 1. Kiểm tra cột Chu kỳ</t>
  </si>
  <si>
    <t>1. Hiển thị đúng đơn vị đã lưu khi tạo: "30 ngày", "2 tuần", "12 tháng", "1 năm" (không tự quy đổi)</t>
  </si>
  <si>
    <t>Cột Giá gốc (VNĐ)</t>
  </si>
  <si>
    <t>Kiểm tra định dạng cột Giá gốc</t>
  </si>
  <si>
    <t>1. Kiểm tra dữ liệu cột Giá gốc</t>
  </si>
  <si>
    <t>1. Hiển thị số tiền có dấu chấm phân cách hàng nghìn, VD: 1.200.000</t>
  </si>
  <si>
    <t>Kiểm tra hiển thị giá gốc giá trị lớn</t>
  </si>
  <si>
    <t>ĐK: Gói có giá gốc 9.999.999.999.999
 1. Kiểm tra cột Giá gốc</t>
  </si>
  <si>
    <t>1. Hiển thị đúng 9.999.999.999.999, không vỡ layout, không hiển thị dạng số mũ</t>
  </si>
  <si>
    <t>Cột Kênh bán</t>
  </si>
  <si>
    <t>Kiểm tra hiển thị cột Kênh bán 1 kênh</t>
  </si>
  <si>
    <t>ĐK: Gói có kênh phân phối Web OA
 1. Kiểm tra cột Kênh bán</t>
  </si>
  <si>
    <t>1. Hiển thị: Web OA</t>
  </si>
  <si>
    <t>Kiểm tra hiển thị cột Kênh bán nhiều kênh</t>
  </si>
  <si>
    <t>ĐK: Gói có kênh phân phối Web OA và Mini app gói cước Tammi
 1. Kiểm tra cột Kênh bán</t>
  </si>
  <si>
    <t>1. Hiển thị đủ 2 kênh, text dài cắt "..." như design ("Mini app gói cước...")</t>
  </si>
  <si>
    <t>Cột Loại hình</t>
  </si>
  <si>
    <t>Kiểm tra hiển thị cột Loại hình</t>
  </si>
  <si>
    <t>ĐK: Có gói Gói chính và gói Gói add-on
 1. Kiểm tra cột Loại hình</t>
  </si>
  <si>
    <t>1. Hiển thị đúng: Chính / Add-on</t>
  </si>
  <si>
    <t>Cột Trạng thái</t>
  </si>
  <si>
    <t>Kiểm tra hiển thị trạng thái Nháp</t>
  </si>
  <si>
    <t>ĐK: Gói ở trạng thái Nháp
 1. Kiểm tra cột Trạng thái</t>
  </si>
  <si>
    <t>1. Hiển thị status pill "Nháp" màu xám theo design</t>
  </si>
  <si>
    <t>Kiểm tra hiển thị trạng thái Đã phát hành</t>
  </si>
  <si>
    <t>ĐK: Gói ở trạng thái Đã phát hành
 1. Kiểm tra cột Trạng thái</t>
  </si>
  <si>
    <t>1. Hiển thị status pill "Đã phát hành" màu vàng theo design</t>
  </si>
  <si>
    <t xml:space="preserve">Mục QL gói cước - UC danh sách gói cước STT 19 (SRS ghi "đã ban hành", design ghi "Đã phát hành" </t>
  </si>
  <si>
    <t>Kiểm tra hiển thị trạng thái Đang kinh doanh</t>
  </si>
  <si>
    <t>ĐK: Gói ở trạng thái Đang kinh doanh
 1. Kiểm tra cột Trạng thái</t>
  </si>
  <si>
    <t>1. Hiển thị status pill "Đang kinh doanh" màu xanh theo design</t>
  </si>
  <si>
    <t>Kiểm tra hiển thị trạng thái Ngừng kinh doanh</t>
  </si>
  <si>
    <t>ĐK: Gói ở trạng thái Ngừng kinh doanh
 1. Kiểm tra cột Trạng thái</t>
  </si>
  <si>
    <t>1. Hiển thị status pill "Ngừng kinh doanh" màu đỏ theo design</t>
  </si>
  <si>
    <t>Kiểm tra trạng thái cập nhật khi gói tự động chuyển trạng thái</t>
  </si>
  <si>
    <t>ĐK: Gói Đã phát hành, Bật/tắt trạng thái = Tự động, thời gian bắt đầu = hiện tại + 2 phút
 1. Chờ qua thời gian bắt đầu
 2. Tải lại danh sách</t>
  </si>
  <si>
    <t>2. Cột Trạng thái của gói hiển thị "Đang kinh doanh"</t>
  </si>
  <si>
    <t>Cột Thời gian cập nhật</t>
  </si>
  <si>
    <t>Kiểm tra định dạng cột Thời gian cập nhật</t>
  </si>
  <si>
    <t>1. Kiểm tra cột Thời gian cập nhật</t>
  </si>
  <si>
    <t>1. Hiển thị thời điểm cập nhật gần nhất định dạng DD/MM/YYYY HH:mm:ss</t>
  </si>
  <si>
    <t>Kiểm tra Thời gian/Người cập nhật thay đổi sau khi chỉnh sửa gói</t>
  </si>
  <si>
    <t>1. Admin B chỉnh sửa 1 gói cước
 2. Quay lại danh sách</t>
  </si>
  <si>
    <t>2. Thời gian cập nhật = thời điểm lưu chỉnh sửa, Người cập nhật = họ tên Admin B</t>
  </si>
  <si>
    <t>Chưa làm UC chỉnh sửa</t>
  </si>
  <si>
    <t>Cột Người cập nhật</t>
  </si>
  <si>
    <t>Kiểm tra hiển thị cột Người cập nhật</t>
  </si>
  <si>
    <t>1. Kiểm tra cột Người cập nhật</t>
  </si>
  <si>
    <t>1. Hiển thị họ và tên tài khoản Admin thực hiện cập nhật gần nhất</t>
  </si>
  <si>
    <t>Cột Thao tác</t>
  </si>
  <si>
    <t>Kiểm tra hiển thị bộ icon thao tác</t>
  </si>
  <si>
    <t>1. Kiểm tra cột Thao tác từng dòng gói cước</t>
  </si>
  <si>
    <t>1. Hiển thị 3 icon: (i) Xem chi tiết, ✏ Chỉnh sửa, 🗑 Xoá</t>
  </si>
  <si>
    <t>Kiểm tra click icon (i)</t>
  </si>
  <si>
    <t>1. Click icon (i) tại 1 gói cước</t>
  </si>
  <si>
    <t>1. Điều hướng đến trang Xem chi tiết đúng gói cước đã chọn</t>
  </si>
  <si>
    <t>Kiểm tra click icon ✏</t>
  </si>
  <si>
    <t>1. Click icon ✏ tại 1 gói cước</t>
  </si>
  <si>
    <t>1. Điều hướng đến trang Chỉnh sửa đúng gói cước đã chọn</t>
  </si>
  <si>
    <t>Kiểm tra click icon 🗑</t>
  </si>
  <si>
    <t>1. Click icon 🗑 tại 1 gói cước</t>
  </si>
  <si>
    <t>1. Thực hiện luồng Xoá gói cước theo UC xoá gói cước (hiển thị popup xác nhận)</t>
  </si>
  <si>
    <t>Mục QL gói cước - UC danh sách gói cước STT 22 - UC xoá chưa mô tả chi tiết,</t>
  </si>
  <si>
    <t>Kiểm tra icon Xoá theo từng trạng thái gói</t>
  </si>
  <si>
    <t>ĐK: Có gói ở các trạng thái Nháp / Đã phát hành / Đang kinh doanh / Ngừng kinh doanh
 1. Kiểm tra icon 🗑 từng dòng</t>
  </si>
  <si>
    <t>1. Theo bảng trạng thái: gói Đang kinh doanh tuyệt đối không được xoá; Nháp được xoá; Đã phát hành/Ngừng kinh doanh chỉ xoá khi chưa phát sinh giao dịch</t>
  </si>
  <si>
    <t>SRS UC danh sách không nêu icon disable hay chặn khi click  xóa gói đã phát sinh</t>
  </si>
  <si>
    <t>Link + Thêm gói cước</t>
  </si>
  <si>
    <t>Kiểm tra hiển thị link + Thêm gói cước</t>
  </si>
  <si>
    <t>ĐK: Mở rộng 1 dòng cha
 1. Kiểm tra góc dưới bên trái bảng con</t>
  </si>
  <si>
    <t>1. Hiển thị text màu đỏ "+ Thêm gói cước"</t>
  </si>
  <si>
    <t>Kiểm tra click + Thêm gói cước tại bảng con</t>
  </si>
  <si>
    <t>ĐK: Mở rộng loại gói "Plus OA Business"
 1. Click "+ Thêm gói cước"</t>
  </si>
  <si>
    <t>1. 
 - Điều hướng đến form Tạo gói cước mới
 - Trường Loại gói cước tự gán sẵn "Plus OA Business"
 - Danh sách tính năng hiển thị theo loại gói đó</t>
  </si>
  <si>
    <t>Phân trang</t>
  </si>
  <si>
    <t>Chọn số bản ghi/trang</t>
  </si>
  <si>
    <t>Kiểm tra giá trị mặc định số bản ghi/trang</t>
  </si>
  <si>
    <t>1. Kiểm tra dropdown số bản ghi</t>
  </si>
  <si>
    <t>1. Mặc định hiển thị "10 dòng", mỗi trang tối đa 10 loại gói cước (dòng cha)</t>
  </si>
  <si>
    <t>Kiểm tra danh sách giá trị dropdown số bản ghi</t>
  </si>
  <si>
    <t>1. Click dropdown số bản ghi</t>
  </si>
  <si>
    <t>1. Hiển thị các giá trị: 10, 15, 20, 25</t>
  </si>
  <si>
    <t>CMS mọi màn đều 10, 20 ,50,100</t>
  </si>
  <si>
    <t>Kiểm tra thay đổi số bản ghi/trang</t>
  </si>
  <si>
    <t>ĐK: Đang ở trang 2
 1. Chọn 20 dòng</t>
  </si>
  <si>
    <t>1. 
 - Tải lại dữ liệu, tự động quay về trang 1
 - Hiển thị tối đa 20 loại gói cước/trang</t>
  </si>
  <si>
    <t>Kiểm tra số bản ghi/trang chỉ tính dòng cha</t>
  </si>
  <si>
    <t>ĐK: Có 11 loại gói cước, mỗi loại có nhiều gói con, chọn 10 dòng
 1. Mở rộng các dòng cha
 2. Kiểm tra trang 1</t>
  </si>
  <si>
    <t>2. Trang 1 hiển thị 10 loại gói cước kèm toàn bộ gói con; loại gói thứ 11 ở trang 2</t>
  </si>
  <si>
    <t>Thông tin hiển thị</t>
  </si>
  <si>
    <t>Kiểm tra text thông tin số bản ghi</t>
  </si>
  <si>
    <t>ĐK: Có 112 loại gói cước, 10 dòng/trang
 1. Kiểm tra text chân trang</t>
  </si>
  <si>
    <t>1. Hiển thị: "Hiển thị 1–10 trong tổng số 112 kết quả"</t>
  </si>
  <si>
    <t>Kiểm tra text thông tin ở trang cuối</t>
  </si>
  <si>
    <t>ĐK: Có 112 loại gói cước, 10 dòng/trang
 1. Chuyển đến trang cuối</t>
  </si>
  <si>
    <t>1. Hiển thị: "Hiển thị 111–112 trong tổng số 112 kết quả"</t>
  </si>
  <si>
    <t>Điều hướng phân trang</t>
  </si>
  <si>
    <t>Kiểm tra nút ← khi ở trang đầu</t>
  </si>
  <si>
    <t>1. Đang ở trang 1
 2. Kiểm tra nút ←</t>
  </si>
  <si>
    <t>2. Nút ← bị vô hiệu hoá</t>
  </si>
  <si>
    <t>Kiểm tra nút → khi ở trang cuối</t>
  </si>
  <si>
    <t>1. Chuyển đến trang cuối
 2. Kiểm tra nút →</t>
  </si>
  <si>
    <t>2. Nút → bị vô hiệu hoá</t>
  </si>
  <si>
    <t>Kiểm tra click số trang</t>
  </si>
  <si>
    <t>1. Click số trang 2</t>
  </si>
  <si>
    <t>1. 
 - Hiển thị dữ liệu trang 2, nối tiếp trang 1
 - Số trang 2 active nền/chữ đỏ</t>
  </si>
  <si>
    <t>Kiểm tra click nút → và ←</t>
  </si>
  <si>
    <t>1. Đang ở trang 1, click →
 2. Click ←</t>
  </si>
  <si>
    <t>1. Chuyển sang trang 2
 2. Quay lại trang 1</t>
  </si>
  <si>
    <t>Kiểm tra phân trang khi số loại gói ≤ số bản ghi/trang</t>
  </si>
  <si>
    <t>ĐK: Có 10 loại gói cước, chọn 10 dòng
 1. Kiểm tra phân trang</t>
  </si>
  <si>
    <t>1. Chỉ có 1 trang, nút ← và → đều bị vô hiệu hoá</t>
  </si>
  <si>
    <t>Kiểm tra hiển thị "..." khi nhiều trang</t>
  </si>
  <si>
    <t>ĐK: Có 15 trang
 1. Kiểm tra dãy số trang</t>
  </si>
  <si>
    <t>1. Hiển thị 1, 2, 3, ..., 15 theo design</t>
  </si>
  <si>
    <t>Cài đặt bảng (ẩn/hiện cột)</t>
  </si>
  <si>
    <t>Pre-condition: 
 Bước 1, 2: Như Pre-condition UC1
 Bước 3: Click button Cài đặt bảng → hiển thị popup Cài đặt bảng</t>
  </si>
  <si>
    <t>Kiểm tra trạng thái button Cài đặt bảng khi popup đang mở</t>
  </si>
  <si>
    <t>1. Button ở trạng thái active: viền, icon bánh răng và text "Cài đặt bảng" chuyển màu đỏ theo design</t>
  </si>
  <si>
    <t>[Bổ sung 02/10/2026] Theo UI thực tế - Kỹ thuật: Sơ đồ chuyển trạng thái (Đóng → Mở)</t>
  </si>
  <si>
    <t>Kiểm tra click lại button Cài đặt bảng khi popup đang mở</t>
  </si>
  <si>
    <t>1. 
 - Đóng popup Cài đặt bảng, không lưu thay đổi chưa Cập nhật
 - Button trở về trạng thái mặc định: viền xám, text đen</t>
  </si>
  <si>
    <t>[Bổ sung 02/10/2026] Kỹ thuật: Sơ đồ chuyển trạng thái - Cần BA confirm hành vi bật/tắt khi click lại button</t>
  </si>
  <si>
    <t>Kiểm tra click liên tục nhiều lần button Cài đặt bảng</t>
  </si>
  <si>
    <t>ĐK: Popup Cài đặt bảng đang đóng
 1. Click liên tiếp nhanh button Cài đặt bảng 5 lần</t>
  </si>
  <si>
    <t>1. Popup đóng/mở theo số lần click (lần lẻ mở, lần chẵn đóng), không mở nhiều popup chồng nhau, không vỡ giao diện</t>
  </si>
  <si>
    <t>[Bổ sung 02/10/2026]</t>
  </si>
  <si>
    <t>Popup Cài đặt bảng - Giao diện</t>
  </si>
  <si>
    <t>Kiểm tra giao diện popup Cài đặt bảng</t>
  </si>
  <si>
    <t>1. Kiểm tra popup Cài đặt bảng</t>
  </si>
  <si>
    <t>1. Hiển thị popup dạng dropdown ngay dưới button Cài đặt bảng gồm:
 + Checkbox "Chọn tất cả"
 + Danh sách checkbox các cột: Mã gói, Chu kỳ, Giá gốc (VNĐ), Kênh bán, Loại hình, Gia hạn tự động, Trạng thái, Thời gian cập nhật, Người cập nhật
 + Button "Cập nhật" nền đen ở cuối popup</t>
  </si>
  <si>
    <t>[Bổ sung 02/10/2026] Theo UI thực tế</t>
  </si>
  <si>
    <t>Kiểm tra thứ tự các option cột trong popup</t>
  </si>
  <si>
    <t>1. Đối chiếu thứ tự các option trong popup với thứ tự cột trên header bảng</t>
  </si>
  <si>
    <t>1. Thứ tự option trùng thứ tự cột trên bảng từ trái qua phải: Mã gói → Chu kỳ → Giá gốc (VNĐ) → Kênh bán → Loại hình → Gia hạn tự động → Trạng thái → Thời gian cập nhật → Người cập nhật</t>
  </si>
  <si>
    <t>Kiểm tra cột Thao tác không nằm trong danh sách cấu hình</t>
  </si>
  <si>
    <t>1. Cuộn hết danh sách option trong popup</t>
  </si>
  <si>
    <t>1. Không có option "Thao tác" → cột Thao tác luôn hiển thị, không cho phép ẩn</t>
  </si>
  <si>
    <t>[Bổ sung 02/10/2026] Suy ra từ UI thực tế (popup không có option Thao tác) - Cần BA confirm cột Thao tác là cột cố định</t>
  </si>
  <si>
    <t>Kiểm tra giá trị mặc định của popup khi chưa từng cấu hình</t>
  </si>
  <si>
    <t>ĐK: Tài khoản chưa từng cập nhật Cài đặt bảng
 1. Kiểm tra trạng thái các checkbox</t>
  </si>
  <si>
    <t>1. "Chọn tất cả" và 9 option cột đều ở trạng thái được chọn (checkbox đỏ có dấu tick); bảng hiển thị đủ 9 cột + cột Thao tác</t>
  </si>
  <si>
    <t>Kiểm tra cuộn danh sách option trong popup</t>
  </si>
  <si>
    <t>1. Cuộn chuột xuống trong vùng danh sách option</t>
  </si>
  <si>
    <t>1. 
 - Danh sách cuộn dọc, hiển thị thanh cuộn bên phải popup
 - Cuộn xuống hiển thị đến option cuối "Người cập nhật", dòng "Chọn tất cả" cuộn khuất phía trên
 - Button "Cập nhật" luôn cố định cuối popup, không cuộn theo danh sách</t>
  </si>
  <si>
    <t>[Bổ sung 02/10/2026] Theo UI thực tế (ảnh popup đầu/cuối danh sách)</t>
  </si>
  <si>
    <t>Kiểm tra hiệu ứng khi di chuột qua option</t>
  </si>
  <si>
    <t>1. Di chuột qua từng option trong popup</t>
  </si>
  <si>
    <t>1. Option đang được trỏ chuột hiển thị nền xám, con trỏ dạng bàn tay</t>
  </si>
  <si>
    <t>Kiểm tra popup hiển thị nổi trên bảng danh sách</t>
  </si>
  <si>
    <t>1. Kiểm tra vị trí popup so với bảng danh sách</t>
  </si>
  <si>
    <t>1. Popup nổi đè lên bảng danh sách, không đẩy/xô lệch bảng và thanh công cụ</t>
  </si>
  <si>
    <t>Checkbox Chọn tất cả</t>
  </si>
  <si>
    <t>Kiểm tra bỏ chọn "Chọn tất cả" khi tất cả cột đang được chọn</t>
  </si>
  <si>
    <t>ĐK: Tất cả option đang được chọn
 1. Click bỏ chọn checkbox "Chọn tất cả"</t>
  </si>
  <si>
    <t>1. Toàn bộ 9 option cột chuyển sang trạng thái bỏ chọn</t>
  </si>
  <si>
    <t>[Bổ sung 02/10/2026] Kỹ thuật: Bảng quyết định</t>
  </si>
  <si>
    <t>Kiểm tra chọn "Chọn tất cả" khi đang bỏ chọn một số cột</t>
  </si>
  <si>
    <t>ĐK: Đang bỏ chọn cột Chu kỳ và Kênh bán
 1. Click chọn checkbox "Chọn tất cả"</t>
  </si>
  <si>
    <t>1. Toàn bộ 9 option cột được chọn</t>
  </si>
  <si>
    <t>Kiểm tra trạng thái "Chọn tất cả" khi bỏ chọn 1 cột</t>
  </si>
  <si>
    <t>ĐK: Tất cả option đang được chọn
 1. Bỏ chọn option "Chu kỳ"</t>
  </si>
  <si>
    <t>1. Checkbox "Chọn tất cả" tự động bỏ tick (hoặc hiển thị trạng thái chọn một phần theo design)</t>
  </si>
  <si>
    <t>[Bổ sung 02/10/2026] Kỹ thuật: Bảng quyết định - Cần BA confirm có hiển thị trạng thái chọn một phần (indeterminate) không</t>
  </si>
  <si>
    <t>Kiểm tra "Chọn tất cả" tự động được chọn khi tick đủ các cột</t>
  </si>
  <si>
    <t>ĐK: Chỉ còn option "Chu kỳ" chưa được chọn
 1. Tick option "Chu kỳ"</t>
  </si>
  <si>
    <t>1. Checkbox "Chọn tất cả" tự động được tick</t>
  </si>
  <si>
    <t>Kiểm tra click vào text tên cột thay vì ô checkbox</t>
  </si>
  <si>
    <t>1. Click vào text "Kênh bán" trong popup</t>
  </si>
  <si>
    <t>1. Checkbox của option Kênh bán đổi trạng thái chọn/bỏ chọn</t>
  </si>
  <si>
    <t>[Bổ sung 02/10/2026] Cần BA confirm vùng click của option</t>
  </si>
  <si>
    <t>Button Cập nhật</t>
  </si>
  <si>
    <t>Kiểm tra ẩn 1 cột</t>
  </si>
  <si>
    <t>1. Bỏ chọn option "Gia hạn tự động"
 2. Click button Cập nhật</t>
  </si>
  <si>
    <t>2. 
 - Đóng popup Cài đặt bảng
 - Bảng con của tất cả loại gói không còn cột Gia hạn tự động
 - Các cột còn lại giữ đúng thứ tự và dữ liệu</t>
  </si>
  <si>
    <t>[Bổ sung 02/10/2026] Kỹ thuật: Phân tích giá trị biên (8/9 cột)</t>
  </si>
  <si>
    <t>Kiểm tra ẩn nhiều cột</t>
  </si>
  <si>
    <t>1. Bỏ chọn option "Chu kỳ", "Giá gốc (VNĐ)", "Người cập nhật"
 2. Click button Cập nhật</t>
  </si>
  <si>
    <t>2. Bảng ẩn đúng 3 cột đã bỏ chọn; các cột còn lại và cột Thao tác hiển thị đúng thứ tự, đúng dữ liệu</t>
  </si>
  <si>
    <t>[Bổ sung 02/10/2026] Kỹ thuật: Phân vùng tương đương</t>
  </si>
  <si>
    <t>Kiểm tra hiển thị lại cột đã ẩn</t>
  </si>
  <si>
    <t>ĐK: Cột Chu kỳ đang bị ẩn
 1. Tick option "Chu kỳ"
 2. Click button Cập nhật</t>
  </si>
  <si>
    <t>2. Cột Chu kỳ hiển thị lại đúng vị trí ban đầu (sau cột Mã gói), dữ liệu hiển thị đúng</t>
  </si>
  <si>
    <t>[Bổ sung 02/10/2026] Kỹ thuật: Sơ đồ chuyển trạng thái (Ẩn → Hiện)</t>
  </si>
  <si>
    <t>Kiểm tra popup hiển thị đúng cấu hình đang áp dụng khi mở lại</t>
  </si>
  <si>
    <t>ĐK: Đã ẩn cột Kênh bán, Loại hình và click Cập nhật
 1. Click button Cài đặt bảng mở lại popup
 2. Kiểm tra các checkbox</t>
  </si>
  <si>
    <t>2. Option Kênh bán, Loại hình bỏ chọn; các option còn lại được chọn; "Chọn tất cả" bỏ chọn</t>
  </si>
  <si>
    <t>Kiểm tra ẩn cột Mã gói (cột đầu tiên của bảng)</t>
  </si>
  <si>
    <t>1. Bỏ chọn option "Mã gói"
 2. Click button Cập nhật</t>
  </si>
  <si>
    <t>2. 
 - Bảng con bắt đầu từ cột Chu kỳ
 - Dòng cha Loại gói cước (tên loại gói, badge, loại dịch vụ) hiển thị bình thường, không vỡ layout</t>
  </si>
  <si>
    <t>[Bổ sung 02/10/2026] Cần BA confirm có cho phép ẩn cột định danh Mã gói không</t>
  </si>
  <si>
    <t>Kiểm tra click Cập nhật khi không thay đổi option nào</t>
  </si>
  <si>
    <t>1. Không thay đổi checkbox nào
 2. Click button Cập nhật</t>
  </si>
  <si>
    <t>2. Đóng popup, bảng giữ nguyên các cột đang hiển thị</t>
  </si>
  <si>
    <t>Kiểm tra click liên tục nhiều lần button Cập nhật</t>
  </si>
  <si>
    <t>1. Bỏ chọn option "Trạng thái"
 2. Click liên tiếp nhanh button Cập nhật</t>
  </si>
  <si>
    <t>2. Cấu hình chỉ được áp dụng 1 lần, cột Trạng thái bị ẩn, không lỗi giao diện</t>
  </si>
  <si>
    <t>Kiểm tra bỏ chọn tất cả cột (0 cột hiển thị)</t>
  </si>
  <si>
    <t>1. Bỏ chọn checkbox "Chọn tất cả"
 2. Kiểm tra button Cập nhật
 3. Click button Cập nhật</t>
  </si>
  <si>
    <t>2. Button Cập nhật bị disable
 3. Không cho phép lưu cấu hình bảng không có cột dữ liệu nào</t>
  </si>
  <si>
    <t>[Bổ sung 02/10/2026] Kỹ thuật: Phân tích giá trị biên (0 cột) - Ảnh màn hình chưa thể hiện - Cần BA confirm (tham chiếu sheet CMS-CTKM: bỏ chọn tất cả → button disable)</t>
  </si>
  <si>
    <t>Kiểm tra chỉ giữ lại 1 cột hiển thị</t>
  </si>
  <si>
    <t>1. Bỏ chọn "Chọn tất cả"
 2. Tick option "Mã gói"
 3. Click button Cập nhật</t>
  </si>
  <si>
    <t>3. Bảng con chỉ hiển thị cột Mã gói và cột Thao tác, bảng giãn đủ chiều rộng, không có thanh cuộn ngang thừa</t>
  </si>
  <si>
    <t>[Bổ sung 02/10/2026] Kỹ thuật: Phân tích giá trị biên (1 cột)</t>
  </si>
  <si>
    <t>Kiểm tra bảng không còn cuộn ngang khi ẩn bớt cột</t>
  </si>
  <si>
    <t>ĐK: Bảng đang hiển thị đủ 9 cột và có thanh cuộn ngang
 1. Bỏ chọn Kênh bán, Loại hình, Gia hạn tự động, Người cập nhật
 2. Click button Cập nhật</t>
  </si>
  <si>
    <t>2. 
 - Các cột còn lại giãn theo chiều rộng bảng, không còn thanh cuộn ngang
 - Cột Thao tác vẫn hiển thị bên phải</t>
  </si>
  <si>
    <t>Đóng popup không lưu</t>
  </si>
  <si>
    <t>Kiểm tra click ra ngoài popup sau khi thay đổi option</t>
  </si>
  <si>
    <t>1. Bỏ chọn option "Chu kỳ"
 2. Click vào vùng trống ngoài popup
 3. Click button Cài đặt bảng mở lại popup</t>
  </si>
  <si>
    <t>2. Đóng popup, huỷ thay đổi: cột Chu kỳ vẫn hiển thị trên bảng
 3. Option Chu kỳ vẫn ở trạng thái được chọn</t>
  </si>
  <si>
    <t>[Bổ sung 02/10/2026] Kỹ thuật: Sơ đồ chuyển trạng thái (Đang chỉnh → Huỷ) - Cần BA confirm (tham chiếu sheet CMS-CTKM: click ra ngoài → huỷ thao tác)</t>
  </si>
  <si>
    <t>Kiểm tra nhấn phím Esc khi popup đang mở</t>
  </si>
  <si>
    <t>1. Bỏ chọn option "Kênh bán"
 2. Nhấn phím Esc</t>
  </si>
  <si>
    <t>2. Đóng popup, không lưu thay đổi, cột Kênh bán vẫn hiển thị</t>
  </si>
  <si>
    <t>[Bổ sung 02/10/2026] Cần BA confirm</t>
  </si>
  <si>
    <t>Kiểm tra click icon Bộ lọc khi popup Cài đặt bảng đang mở</t>
  </si>
  <si>
    <t>1. Bỏ chọn option "Loại hình"
 2. Click icon Bộ lọc</t>
  </si>
  <si>
    <t>2. 
 - Popup Cài đặt bảng đóng, không lưu thay đổi chưa Cập nhật (cột Loại hình vẫn hiển thị)
 - Mở tab Bộ lọc</t>
  </si>
  <si>
    <t>Lưu cấu hình Cài đặt bảng</t>
  </si>
  <si>
    <t>Kiểm tra cấu hình cột sau khi tải lại trang</t>
  </si>
  <si>
    <t>ĐK: Đã ẩn cột Người cập nhật và click Cập nhật
 1. Nhấn F5 tải lại trang</t>
  </si>
  <si>
    <t>1. Cấu hình được giữ nguyên: cột Người cập nhật vẫn bị ẩn</t>
  </si>
  <si>
    <t>[Bổ sung 02/10/2026] Ảnh màn hình không thể hiện cơ chế lưu - Cần BA confirm cấu hình lưu theo tài khoản / theo trình duyệt / reset khi tải lại</t>
  </si>
  <si>
    <t>Kiểm tra cấu hình cột khi chuyển sang màn khác rồi quay lại</t>
  </si>
  <si>
    <t>ĐK: Đã ẩn cột Kênh bán và click Cập nhật
 1. Click menu Quản lý loại gói cước
 2. Click lại menu Quản lý gói cước</t>
  </si>
  <si>
    <t>2. Cột Kênh bán vẫn bị ẩn</t>
  </si>
  <si>
    <t>Kiểm tra cấu hình cột sau khi đăng xuất và đăng nhập lại</t>
  </si>
  <si>
    <t>ĐK: Đã ẩn cột Giá gốc (VNĐ) và click Cập nhật
 1. Đăng xuất
 2. Đăng nhập lại cùng tài khoản, vào màn Quản lý gói cước</t>
  </si>
  <si>
    <t>2. Cột Giá gốc (VNĐ) vẫn bị ẩn</t>
  </si>
  <si>
    <t>Kiểm tra cấu hình của tài khoản này không ảnh hưởng tài khoản khác</t>
  </si>
  <si>
    <t>ĐK: Admin A đã ẩn cột Trạng thái
 1. Đăng nhập Admin B trên trình duyệt khác
 2. Vào màn Quản lý gói cước</t>
  </si>
  <si>
    <t>2. Admin B vẫn thấy đủ 9 cột theo cấu hình của Admin B</t>
  </si>
  <si>
    <t>Kiểm tra cấu hình bảng không ảnh hưởng màn hình khác</t>
  </si>
  <si>
    <t>ĐK: Đã ẩn cột Trạng thái tại màn Quản lý gói cước
 1. Mở màn Quản lý loại gói cước, Chương trình khuyến mãi</t>
  </si>
  <si>
    <t>1. Bảng danh sách của các màn khác không bị ảnh hưởng</t>
  </si>
  <si>
    <t>Kiểm tra cấu hình cột giữ nguyên khi chuyển trang và đổi số dòng/trang</t>
  </si>
  <si>
    <t>ĐK: Đã ẩn cột Giá gốc (VNĐ)
 1. Click trang 2
 2. Chọn 20 dòng</t>
  </si>
  <si>
    <t>1. Trang 2 không hiển thị cột Giá gốc (VNĐ)
 2. Danh sách tải lại vẫn không hiển thị cột Giá gốc (VNĐ)</t>
  </si>
  <si>
    <t>Kiểm tra cấu hình áp dụng cho loại gói được mở rộng sau khi cập nhật</t>
  </si>
  <si>
    <t>ĐK: Các dòng cha đang thu gọn
 1. Bỏ chọn Kênh bán, click Cập nhật
 2. Click mở rộng 1 loại gói cước</t>
  </si>
  <si>
    <t>2. Bảng con vừa mở rộng không có cột Kênh bán</t>
  </si>
  <si>
    <t>Kiểm tra ẩn cột đang được sắp xếp</t>
  </si>
  <si>
    <t>ĐK: Bảng con đang sắp xếp theo Giá gốc tăng dần
 1. Bỏ chọn Giá gốc (VNĐ), click Cập nhật
 2. Kiểm tra thứ tự danh sách</t>
  </si>
  <si>
    <t>2. Cột Giá gốc (VNĐ) bị ẩn; thứ tự gói cước giữ nguyên theo Giá gốc tăng dần, không lỗi</t>
  </si>
  <si>
    <t>[Bổ sung 02/10/2026] Cần BA confirm giữ hay reset thứ tự sắp xếp khi ẩn cột đang sort</t>
  </si>
  <si>
    <t>Bộ lọc</t>
  </si>
  <si>
    <t>Pre-condition: 
 Bước 1, 2: Như Pre-condition UC1
 Bước 3: Click icon Bộ lọc → hiển thị tab Bộ lọc bên phải màn hình</t>
  </si>
  <si>
    <t>Kiểm tra trạng thái icon Bộ lọc khi tab Bộ lọc đang mở</t>
  </si>
  <si>
    <t>1. Icon phễu lọc và viền button chuyển màu đỏ (active) theo design</t>
  </si>
  <si>
    <t>Kiểm tra click icon Bộ lọc khi tab Bộ lọc đang mở</t>
  </si>
  <si>
    <t>1. 
 - Đóng tab Bộ lọc
 - Icon trở về màu đen
 - Vùng danh sách giãn lại đủ chiều rộng ban đầu</t>
  </si>
  <si>
    <t>[Bổ sung 02/10/2026] Kỹ thuật: Sơ đồ chuyển trạng thái (Mở → Đóng) - tham chiếu sheet CMS-CTKM</t>
  </si>
  <si>
    <t>Kiểm tra bố cục màn hình khi mở tab Bộ lọc</t>
  </si>
  <si>
    <t>1. Kiểm tra bố cục màn hình</t>
  </si>
  <si>
    <t>1. 
 - Tab Bộ lọc hiển thị cố định bên phải màn hình
 - Thanh công cụ (button Thêm gói cước, Xuất file excel, Cài đặt bảng, icon Bộ lọc) và bảng danh sách thu hẹp tương ứng, không bị che, không vỡ layout
 - Bảng danh sách hiển thị thanh cuộn ngang, cột Thao tác cố định bên phải</t>
  </si>
  <si>
    <t>Kiểm tra click liên tục nhiều lần icon Bộ lọc</t>
  </si>
  <si>
    <t>1. Click liên tiếp nhanh icon Bộ lọc 5 lần</t>
  </si>
  <si>
    <t>1. Tab Bộ lọc đóng/mở theo số lần click, không hiển thị nhiều tab chồng nhau, không vỡ layout</t>
  </si>
  <si>
    <t>Tab Bộ lọc - Giao diện</t>
  </si>
  <si>
    <t>Kiểm tra giao diện tab Bộ lọc</t>
  </si>
  <si>
    <t>1. Kiểm tra tab Bộ lọc</t>
  </si>
  <si>
    <t>1. Hiển thị giống design gồm:
 + Tiêu đề "Bộ lọc" màu đỏ
 + Link "Xoá lọc" màu xanh góc phải
 + 4 trường chọn: Chu kỳ, Loại hình gói, Trạng thái, Kênh phân phối
 + Button "Áp dụng" ở cuối tab</t>
  </si>
  <si>
    <t>[Bổ sung 02/10/2026] Theo UI thực tế. Lưu ý: tên bộ lọc "Kênh phân phối", "Loại hình gói" khác tên cột "Kênh bán", "Loại hình" trên bảng</t>
  </si>
  <si>
    <t>Kiểm tra giá trị mặc định của tab Bộ lọc</t>
  </si>
  <si>
    <t>1. Kiểm tra các trường lọc và button Áp dụng</t>
  </si>
  <si>
    <t>1. 
 - 4 trường lọc để trống, hiển thị placeholder đúng tên trường, icon mũi tên hướng xuống
 - Button "Áp dụng" bị disable (nền xám)</t>
  </si>
  <si>
    <t>[Bổ sung 02/10/2026] Theo UI thực tế - Kỹ thuật: Bảng quyết định (R1: chưa chọn giá trị)</t>
  </si>
  <si>
    <t>Kiểm tra mở dropdown trường lọc</t>
  </si>
  <si>
    <t>1. Click trường Chu kỳ</t>
  </si>
  <si>
    <t>1. 
 - Viền trường đậm, mũi tên đổi hướng lên
 - Hiển thị danh sách bên dưới gồm ô "Tìm kiếm" (icon kính lúp) và các option kèm checkbox chưa chọn</t>
  </si>
  <si>
    <t>Kiểm tra chỉ mở 1 dropdown tại một thời điểm</t>
  </si>
  <si>
    <t>ĐK: Dropdown Chu kỳ đang mở
 1. Click trường Loại hình gói</t>
  </si>
  <si>
    <t>1. Dropdown Chu kỳ đóng, dropdown Loại hình gói mở</t>
  </si>
  <si>
    <t>Kiểm tra dropdown không đóng sau khi chọn 1 option</t>
  </si>
  <si>
    <t>1. Click trường Kênh phân phối
 2. Tick option "Web OA"</t>
  </si>
  <si>
    <t>2. Dropdown vẫn mở để chọn tiếp option khác (chọn nhiều)</t>
  </si>
  <si>
    <t>Kiểm tra đóng dropdown khi click lại trường hoặc click ra ngoài</t>
  </si>
  <si>
    <t>ĐK: Dropdown Chu kỳ đang mở, đã tick "Ngày"
 1. Click lại trường Chu kỳ
 2. Mở lại dropdown, click vùng trống trong tab Bộ lọc</t>
  </si>
  <si>
    <t>1. Dropdown đóng, giữ nguyên giá trị "Ngày" đã chọn
 2. Dropdown đóng, giữ nguyên giá trị đã chọn</t>
  </si>
  <si>
    <t>Trường Chu kỳ</t>
  </si>
  <si>
    <t>Kiểm tra danh sách option trường Chu kỳ</t>
  </si>
  <si>
    <t>1. Hiển thị 4 option: Ngày, Tuần, Tháng, Năm</t>
  </si>
  <si>
    <t>[Bổ sung 02/10/2026] Theo UI thực tế - Kỹ thuật: Phân vùng tương đương (đơn vị chu kỳ)</t>
  </si>
  <si>
    <t>Kiểm tra hiển thị khi chọn 1 giá trị</t>
  </si>
  <si>
    <t>1. Click trường Chu kỳ
 2. Tick option "Ngày"</t>
  </si>
  <si>
    <t>2. 
 - Checkbox "Ngày" chuyển đỏ có dấu tick, dòng option có nền xám
 - Trường hiển thị nhãn nhỏ "Chu kỳ" phía trên và chip "Ngày ×"
 - Button "Áp dụng" enable (nền đỏ)</t>
  </si>
  <si>
    <t>[Bổ sung 02/10/2026] Theo UI thực tế (ảnh chọn Web OA) - Kỹ thuật: Bảng quyết định (R2)</t>
  </si>
  <si>
    <t>Kiểm tra lọc Chu kỳ = Ngày</t>
  </si>
  <si>
    <t>ĐK: Có gói chu kỳ 14 ngày, 2 tuần, 12 tháng, 1 năm
 1. Chọn Chu kỳ = Ngày
 2. Click Áp dụng</t>
  </si>
  <si>
    <t>2. Chỉ hiển thị gói có đơn vị chu kỳ Ngày (14 ngày); không hiển thị gói 2 tuần, 12 tháng, 1 năm</t>
  </si>
  <si>
    <t>Kiểm tra lọc Chu kỳ = Tuần</t>
  </si>
  <si>
    <t>ĐK: Có gói chu kỳ 14 ngày, 2 tuần, 12 tháng, 1 năm
 1. Chọn Chu kỳ = Tuần
 2. Click Áp dụng</t>
  </si>
  <si>
    <t>2. Chỉ hiển thị gói 2 tuần; không hiển thị gói 14 ngày dù cùng 14 ngày quy đổi</t>
  </si>
  <si>
    <t>[Bổ sung 02/10/2026] Kỹ thuật: Phân vùng tương đương - Cần BA confirm lọc theo đơn vị đã lưu, không quy đổi (khớp TC-61)</t>
  </si>
  <si>
    <t>Kiểm tra lọc Chu kỳ = Tháng</t>
  </si>
  <si>
    <t>ĐK: Có gói chu kỳ 14 ngày, 2 tuần, 12 tháng, 1 năm
 1. Chọn Chu kỳ = Tháng
 2. Click Áp dụng</t>
  </si>
  <si>
    <t>2. Chỉ hiển thị gói 12 tháng; không hiển thị gói 1 năm</t>
  </si>
  <si>
    <t>Kiểm tra lọc Chu kỳ = Năm</t>
  </si>
  <si>
    <t>ĐK: Có gói chu kỳ 14 ngày, 2 tuần, 12 tháng, 1 năm
 1. Chọn Chu kỳ = Năm
 2. Click Áp dụng</t>
  </si>
  <si>
    <t>2. Chỉ hiển thị gói 1 năm</t>
  </si>
  <si>
    <t>Kiểm tra lọc chọn nhiều giá trị Chu kỳ</t>
  </si>
  <si>
    <t>ĐK: Có gói chu kỳ 14 ngày, 2 tuần, 12 tháng, 1 năm
 1. Chọn Chu kỳ = Ngày và Tháng
 2. Click Áp dụng</t>
  </si>
  <si>
    <t>2. Hiển thị gói có đơn vị Ngày hoặc Tháng (14 ngày, 12 tháng); không hiển thị gói 2 tuần, 1 năm</t>
  </si>
  <si>
    <t>[Bổ sung 02/10/2026] Kỹ thuật: Bảng quyết định (R3: nhiều giá trị trong 1 trường = HOẶC) - Cần BA confirm</t>
  </si>
  <si>
    <t>Kiểm tra lọc chọn tất cả giá trị Chu kỳ</t>
  </si>
  <si>
    <t>1. Chọn đủ 4 giá trị Ngày, Tuần, Tháng, Năm
 2. Click Áp dụng</t>
  </si>
  <si>
    <t>2. Kết quả giống danh sách khi không lọc theo Chu kỳ (tổng số kết quả không đổi)</t>
  </si>
  <si>
    <t>[Bổ sung 02/10/2026] Kỹ thuật: Phân tích giá trị biên (chọn tối đa 4/4 option)</t>
  </si>
  <si>
    <t>Kiểm tra bỏ chọn bằng cách click lại option đã chọn</t>
  </si>
  <si>
    <t>ĐK: Chỉ đang chọn Chu kỳ = Ngày
 1. Click lại option "Ngày"</t>
  </si>
  <si>
    <t>1. 
 - Checkbox "Ngày" bỏ tick, chip "Ngày" biến mất, trường về placeholder "Chu kỳ"
 - Button "Áp dụng" disable trở lại</t>
  </si>
  <si>
    <t>[Bổ sung 02/10/2026] Kỹ thuật: Bảng quyết định (quay về R1)</t>
  </si>
  <si>
    <t>Kiểm tra xoá giá trị bằng icon × trên chip</t>
  </si>
  <si>
    <t>ĐK: Đang chọn Chu kỳ = Ngày và Tháng
 1. Click icon × trên chip "Ngày"</t>
  </si>
  <si>
    <t>1. Chip "Ngày" bị xoá, checkbox "Ngày" bỏ tick; chip "Tháng" giữ nguyên</t>
  </si>
  <si>
    <t>[Bổ sung 02/10/2026] Theo UI thực tế (chip có icon ×)</t>
  </si>
  <si>
    <t>Ô Tìm kiếm trong dropdown</t>
  </si>
  <si>
    <t>Kiểm tra hiển thị mặc định ô Tìm kiếm</t>
  </si>
  <si>
    <t>1. Click trường Trạng thái
 2. Kiểm tra ô tìm kiếm</t>
  </si>
  <si>
    <t>2. Ô tìm kiếm để trống, có icon kính lúp và placeholder "Tìm kiếm"; hiển thị đủ option bên dưới</t>
  </si>
  <si>
    <t>[Bổ sung 02/10/2026] Theo UI thực tế - Áp dụng tương tự cho cả 4 trường lọc</t>
  </si>
  <si>
    <t>Kiểm tra tìm kiếm đúng tên option</t>
  </si>
  <si>
    <t>1. Mở dropdown Chu kỳ
 2. Nhập "Tháng" vào ô Tìm kiếm</t>
  </si>
  <si>
    <t>2. Danh sách chỉ còn option "Tháng"</t>
  </si>
  <si>
    <t>[Bổ sung 02/10/2026] Kỹ thuật: Phân vùng tương đương (khớp toàn bộ)</t>
  </si>
  <si>
    <t>Kiểm tra tìm kiếm theo một phần tên option</t>
  </si>
  <si>
    <t>1. Mở dropdown Trạng thái
 2. Nhập "kinh doanh"</t>
  </si>
  <si>
    <t>2. Danh sách còn 2 option: "Đang kinh doanh", "Ngừng kinh doanh"</t>
  </si>
  <si>
    <t>[Bổ sung 02/10/2026] Kỹ thuật: Phân vùng tương đương (khớp một phần)</t>
  </si>
  <si>
    <t>Kiểm tra tìm kiếm không phân biệt chữ hoa, chữ thường</t>
  </si>
  <si>
    <t>1. Mở dropdown Kênh phân phối
 2. Nhập "WEB OA"</t>
  </si>
  <si>
    <t>2. Hiển thị option "Web OA"</t>
  </si>
  <si>
    <t>Kiểm tra tìm kiếm tiếng Việt không dấu</t>
  </si>
  <si>
    <t>1. Mở dropdown Trạng thái
 2. Nhập "nhap"</t>
  </si>
  <si>
    <t>2. Hiển thị option "Nháp"</t>
  </si>
  <si>
    <t>[Bổ sung 02/10/2026] Cần BA confirm có hỗ trợ tìm không dấu không</t>
  </si>
  <si>
    <t>Kiểm tra tìm kiếm không có kết quả</t>
  </si>
  <si>
    <t>1. Mở dropdown Loại hình gói
 2. Nhập "abcxyz"</t>
  </si>
  <si>
    <t>2. Không hiển thị option nào, hiển thị thông báo không có dữ liệu theo design</t>
  </si>
  <si>
    <t>[Bổ sung 02/10/2026] Kỹ thuật: Phân vùng tương đương (không khớp) - Cần BA confirm nội dung thông báo</t>
  </si>
  <si>
    <t>Kiểm tra nhập khoảng trắng đầu/cuối hoặc toàn khoảng trắng</t>
  </si>
  <si>
    <t>1. Mở dropdown Chu kỳ
 2. Nhập "  Ngày  "
 3. Xoá, nhập toàn ký tự khoảng trắng</t>
  </si>
  <si>
    <t>2. Tự trim khoảng trắng đầu/cuối, hiển thị option "Ngày"
 3. Hiển thị đủ 4 option như khi để trống</t>
  </si>
  <si>
    <t>Kiểm tra nhập ký tự đặc biệt, mã script</t>
  </si>
  <si>
    <t>1. Mở dropdown Chu kỳ
 2. Nhập "@#$%^&amp;*" 
 3. Nhập "&lt;script&gt;alert(1)&lt;/script&gt;"</t>
  </si>
  <si>
    <t>2. Không có kết quả, không lỗi
 3. Không thực thi script, hiển thị dạng text, không có kết quả</t>
  </si>
  <si>
    <t>Kiểm tra giữ giá trị đã chọn khi tìm kiếm trong dropdown</t>
  </si>
  <si>
    <t>ĐK: Đã tick Trạng thái = Nháp
 1. Nhập "kinh doanh" vào ô Tìm kiếm
 2. Tick "Đang kinh doanh"
 3. Xoá từ khoá tìm kiếm</t>
  </si>
  <si>
    <t>3. Hiển thị lại đủ 4 option; "Nháp" và "Đang kinh doanh" đều đang được tick; trường hiển thị 2 chip tương ứng</t>
  </si>
  <si>
    <t>Kiểm tra ô Tìm kiếm khi đóng rồi mở lại dropdown</t>
  </si>
  <si>
    <t>ĐK: Đã nhập "Tháng" vào ô Tìm kiếm của dropdown Chu kỳ
 1. Đóng dropdown
 2. Mở lại dropdown Chu kỳ</t>
  </si>
  <si>
    <t>2. Ô tìm kiếm được xoá trắng, hiển thị đủ 4 option</t>
  </si>
  <si>
    <t>Trường Loại hình gói</t>
  </si>
  <si>
    <t>Kiểm tra danh sách option trường Loại hình gói</t>
  </si>
  <si>
    <t>1. Click trường Loại hình gói</t>
  </si>
  <si>
    <t>1. Hiển thị 3 option: Nền, Chính, Add-on</t>
  </si>
  <si>
    <t>[Bổ sung 02/10/2026] Theo UI thực tế - Cần BA confirm: bộ lọc có "Nền" nhưng cột Loại hình (TC-66) chỉ mô tả Chính / Add-on</t>
  </si>
  <si>
    <t>Kiểm tra lọc Loại hình gói = Chính</t>
  </si>
  <si>
    <t>ĐK: Có gói loại hình Chính và Add-on
 1. Chọn Loại hình gói = Chính
 2. Click Áp dụng</t>
  </si>
  <si>
    <t>2. Chỉ hiển thị gói có cột Loại hình = Chính</t>
  </si>
  <si>
    <t>Kiểm tra lọc Loại hình gói = Add-on</t>
  </si>
  <si>
    <t>ĐK: Có gói loại hình Chính và Add-on
 1. Chọn Loại hình gói = Add-on
 2. Click Áp dụng</t>
  </si>
  <si>
    <t>2. Chỉ hiển thị gói có cột Loại hình = Add-on</t>
  </si>
  <si>
    <t>Kiểm tra lọc Loại hình gói = Nền</t>
  </si>
  <si>
    <t>1. Chọn Loại hình gói = Nền
 2. Click Áp dụng</t>
  </si>
  <si>
    <t>2. Chỉ hiển thị gói loại hình Nền; nếu chưa có gói Nền hiển thị "Danh sách trống"</t>
  </si>
  <si>
    <t>[Bổ sung 02/10/2026] Kỹ thuật: Phân vùng tương đương - Cần BA confirm nghiệp vụ loại hình Nền</t>
  </si>
  <si>
    <t>Kiểm tra lọc chọn nhiều giá trị Loại hình gói</t>
  </si>
  <si>
    <t>1. Chọn Loại hình gói = Chính và Add-on
 2. Click Áp dụng</t>
  </si>
  <si>
    <t>2. Hiển thị gói có loại hình Chính hoặc Add-on</t>
  </si>
  <si>
    <t>[Bổ sung 02/10/2026] Kỹ thuật: Bảng quyết định (R3)</t>
  </si>
  <si>
    <t>Trường Trạng thái</t>
  </si>
  <si>
    <t>Kiểm tra danh sách option trường Trạng thái</t>
  </si>
  <si>
    <t>1. Click trường Trạng thái</t>
  </si>
  <si>
    <t>1. Hiển thị 4 option: Nháp, Đã phát hành, Đang kinh doanh, Ngừng kinh doanh; không có option "Đã xoá"</t>
  </si>
  <si>
    <t>[Bổ sung 02/10/2026] Theo UI thực tế - Kỹ thuật: Phân vùng tương đương (trạng thái gói, khớp TC-46)</t>
  </si>
  <si>
    <t>Kiểm tra lọc Trạng thái = Nháp</t>
  </si>
  <si>
    <t>ĐK: Có gói ở cả 4 trạng thái
 1. Chọn Trạng thái = Nháp
 2. Click Áp dụng</t>
  </si>
  <si>
    <t>2. Chỉ hiển thị gói có status pill "Nháp"</t>
  </si>
  <si>
    <t>Kiểm tra lọc Trạng thái = Đã phát hành</t>
  </si>
  <si>
    <t>ĐK: Có gói ở cả 4 trạng thái
 1. Chọn Trạng thái = Đã phát hành
 2. Click Áp dụng</t>
  </si>
  <si>
    <t>2. Chỉ hiển thị gói có status pill "Đã phát hành"</t>
  </si>
  <si>
    <t>Kiểm tra lọc Trạng thái = Đang kinh doanh</t>
  </si>
  <si>
    <t>ĐK: Có gói ở cả 4 trạng thái
 1. Chọn Trạng thái = Đang kinh doanh
 2. Click Áp dụng</t>
  </si>
  <si>
    <t>2. Chỉ hiển thị gói có status pill "Đang kinh doanh"</t>
  </si>
  <si>
    <t>Kiểm tra lọc Trạng thái = Ngừng kinh doanh</t>
  </si>
  <si>
    <t>ĐK: Có gói ở cả 4 trạng thái
 1. Chọn Trạng thái = Ngừng kinh doanh
 2. Click Áp dụng</t>
  </si>
  <si>
    <t>2. Chỉ hiển thị gói có status pill "Ngừng kinh doanh"</t>
  </si>
  <si>
    <t>Kiểm tra lọc chọn nhiều giá trị Trạng thái</t>
  </si>
  <si>
    <t>1. Chọn Trạng thái = Nháp và Đang kinh doanh
 2. Click Áp dụng</t>
  </si>
  <si>
    <t>2. Hiển thị gói ở trạng thái Nháp hoặc Đang kinh doanh; không hiển thị Đã phát hành, Ngừng kinh doanh</t>
  </si>
  <si>
    <t>Kiểm tra hiển thị khi chọn nhiều chip vượt chiều rộng trường</t>
  </si>
  <si>
    <t>1. Chọn đủ 4 giá trị Trạng thái
 2. Kiểm tra hiển thị trường Trạng thái</t>
  </si>
  <si>
    <t>2. Các chip tự xuống dòng hoặc thu gọn dạng "+N" theo design, không tràn ra ngoài tab Bộ lọc, không che trường Kênh phân phối</t>
  </si>
  <si>
    <t>[Bổ sung 02/10/2026] Kỹ thuật: Phân tích giá trị biên (4/4 option, text dài nhất) - Cần BA confirm cách hiển thị</t>
  </si>
  <si>
    <t>Kiểm tra kết quả lọc Trạng thái sau khi gói tự động chuyển trạng thái</t>
  </si>
  <si>
    <t>ĐK: Gói X Đã phát hành, Bật/tắt trạng thái = Tự động, thời gian bắt đầu = hiện tại + 2 phút
 1. Lọc Trạng thái = Đã phát hành → có gói X
 2. Chờ qua thời gian bắt đầu
 3. Click Áp dụng lại</t>
  </si>
  <si>
    <t>3. Gói X không còn trong kết quả lọc Đã phát hành; lọc Đang kinh doanh thì có gói X</t>
  </si>
  <si>
    <t>[Bổ sung 02/10/2026] Kỹ thuật: Sơ đồ chuyển trạng thái gói (Đã phát hành → Đang kinh doanh), liên quan TC-71</t>
  </si>
  <si>
    <t>Trường Kênh phân phối</t>
  </si>
  <si>
    <t>Kiểm tra danh sách option trường Kênh phân phối</t>
  </si>
  <si>
    <t>1. Click trường Kênh phân phối</t>
  </si>
  <si>
    <t>1. Hiển thị 2 option: Web OA, Miniapp Tammi</t>
  </si>
  <si>
    <t>[Bổ sung 02/10/2026] Theo UI thực tế - Cần BA confirm: option "Miniapp Tammi" khác giá trị cột Kênh bán "Mini app gói cước"</t>
  </si>
  <si>
    <t>Kiểm tra lọc Kênh phân phối = Web OA</t>
  </si>
  <si>
    <t>ĐK: Có gói chỉ bán Web OA, gói chỉ bán Mini app, gói bán cả 2 kênh
 1. Chọn Kênh phân phối = Web OA
 2. Click Áp dụng</t>
  </si>
  <si>
    <t>2. Hiển thị gói chỉ bán Web OA và gói bán cả 2 kênh; không hiển thị gói chỉ bán Mini app</t>
  </si>
  <si>
    <t>Kiểm tra lọc Kênh phân phối = Miniapp Tammi</t>
  </si>
  <si>
    <t>ĐK: Có gói chỉ bán Web OA, gói chỉ bán Mini app, gói bán cả 2 kênh
 1. Chọn Kênh phân phối = Miniapp Tammi
 2. Click Áp dụng</t>
  </si>
  <si>
    <t>2. Hiển thị gói chỉ bán Mini app và gói bán cả 2 kênh; không hiển thị gói chỉ bán Web OA</t>
  </si>
  <si>
    <t>Kiểm tra lọc chọn cả 2 Kênh phân phối</t>
  </si>
  <si>
    <t>ĐK: Có gói chỉ bán Web OA, gói chỉ bán Mini app, gói bán cả 2 kênh
 1. Chọn Web OA và Miniapp Tammi
 2. Click Áp dụng</t>
  </si>
  <si>
    <t>2. Hiển thị cả 3 nhóm gói (gói có ít nhất 1 trong 2 kênh)</t>
  </si>
  <si>
    <t>[Bổ sung 02/10/2026] Kỹ thuật: Bảng quyết định (R3) - Cần BA confirm điều kiện HOẶC hay gói phải có đủ cả 2 kênh</t>
  </si>
  <si>
    <t>Kết hợp nhiều trường lọc</t>
  </si>
  <si>
    <t>Kiểm tra lọc kết hợp 2 trường</t>
  </si>
  <si>
    <t>ĐK: Có gói 12 tháng Nháp, 12 tháng Đang kinh doanh, 14 ngày Nháp
 1. Chọn Chu kỳ = Tháng, Trạng thái = Nháp
 2. Click Áp dụng</t>
  </si>
  <si>
    <t>2. Chỉ hiển thị gói thoả cả 2 điều kiện (12 tháng Nháp)</t>
  </si>
  <si>
    <t>[Bổ sung 02/10/2026] Kỹ thuật: Bảng quyết định (R4: nhiều trường = VÀ)</t>
  </si>
  <si>
    <t>Kiểm tra lọc kết hợp đủ 4 trường</t>
  </si>
  <si>
    <t>1. Chọn Chu kỳ = Ngày, Loại hình gói = Chính, Trạng thái = Nháp, Kênh phân phối = Web OA
 2. Click Áp dụng</t>
  </si>
  <si>
    <t>2. Chỉ hiển thị gói thoả đồng thời cả 4 điều kiện</t>
  </si>
  <si>
    <t>[Bổ sung 02/10/2026] Kỹ thuật: Bảng quyết định (R4)</t>
  </si>
  <si>
    <t>Kiểm tra lọc kết hợp không có bản ghi thoả mãn</t>
  </si>
  <si>
    <t>ĐK: Không có gói nào chu kỳ Năm ở trạng thái Ngừng kinh doanh
 1. Chọn Chu kỳ = Năm, Trạng thái = Ngừng kinh doanh
 2. Click Áp dụng</t>
  </si>
  <si>
    <t>2. Không hiển thị bảng dữ liệu, hiển thị text "Danh sách trống"; phân trang không có trang nào</t>
  </si>
  <si>
    <t>[Bổ sung 02/10/2026] Kỹ thuật: Bảng quyết định (R6) - text theo TC-18</t>
  </si>
  <si>
    <t>Button Áp dụng</t>
  </si>
  <si>
    <t>Kiểm tra hiển thị danh sách nhóm Cha - Con sau khi Áp dụng</t>
  </si>
  <si>
    <t>ĐK: Loại gói A có gói Nháp và Đang kinh doanh, loại gói B chỉ có gói Đang kinh doanh
 1. Chọn Trạng thái = Nháp
 2. Click Áp dụng
 3. Mở rộng các dòng cha</t>
  </si>
  <si>
    <t>3. 
 - Chỉ hiển thị dòng cha loại gói A (loại gói có ít nhất 1 gói thoả điều kiện), không hiển thị loại gói B
 - Bảng con loại gói A chỉ chứa gói Nháp</t>
  </si>
  <si>
    <t>[Bổ sung 02/10/2026] Cần BA confirm: loại gói không có gói thoả điều kiện có bị ẩn không; badge hiển thị tổng số gói hay số gói sau lọc</t>
  </si>
  <si>
    <t>Kiểm tra phân trang và text tổng số kết quả sau khi Áp dụng</t>
  </si>
  <si>
    <t>ĐK: Đang ở trang 3, danh sách 48 kết quả
 1. Chọn Trạng thái = Nháp
 2. Click Áp dụng</t>
  </si>
  <si>
    <t>2. 
 - Danh sách tự động quay về trang 1
 - Text chân trang cập nhật theo kết quả lọc: "Hiển thị 1–x trong tổng số y kết quả"
 - Dãy số trang tính lại theo kết quả lọc</t>
  </si>
  <si>
    <t>[Bổ sung 02/10/2026] Kỹ thuật: Phân tích giá trị biên (trang 1) - liên quan TC-86</t>
  </si>
  <si>
    <t>Kiểm tra chọn giá trị nhưng chưa click Áp dụng</t>
  </si>
  <si>
    <t>1. Chọn Chu kỳ = Ngày
 2. Không click Áp dụng, kiểm tra danh sách</t>
  </si>
  <si>
    <t>2. Danh sách không thay đổi; chỉ lọc khi click button Áp dụng</t>
  </si>
  <si>
    <t>[Bổ sung 02/10/2026] Kỹ thuật: Sơ đồ chuyển trạng thái (Đã chọn, chưa áp dụng)</t>
  </si>
  <si>
    <t>Kiểm tra thay đổi điều kiện sau khi đã Áp dụng</t>
  </si>
  <si>
    <t>ĐK: Đang áp dụng lọc Chu kỳ = Ngày
 1. Đổi thành Chu kỳ = Tháng (chưa Áp dụng)
 2. Click Áp dụng</t>
  </si>
  <si>
    <t>1. Danh sách vẫn giữ kết quả lọc Ngày
 2. Danh sách cập nhật theo Chu kỳ = Tháng</t>
  </si>
  <si>
    <t>[Bổ sung 02/10/2026] Kỹ thuật: Sơ đồ chuyển trạng thái (Đã áp dụng → Đã chọn → Đã áp dụng)</t>
  </si>
  <si>
    <t>Kiểm tra trạng thái tab Bộ lọc sau khi click Áp dụng</t>
  </si>
  <si>
    <t>1. Chọn Trạng thái = Nháp
 2. Click Áp dụng</t>
  </si>
  <si>
    <t>2. Tab Bộ lọc vẫn mở, giữ nguyên giá trị đã chọn trên các trường</t>
  </si>
  <si>
    <t>[Bổ sung 02/10/2026] Cần BA confirm tab Bộ lọc giữ mở hay tự đóng sau Áp dụng</t>
  </si>
  <si>
    <t>Kiểm tra click liên tục nhiều lần button Áp dụng</t>
  </si>
  <si>
    <t>1. Chọn Trạng thái = Nháp
 2. Click liên tiếp nhanh button Áp dụng</t>
  </si>
  <si>
    <t>2. Danh sách chỉ hiển thị 1 kết quả lọc đúng, không nhân đôi dữ liệu, không lỗi</t>
  </si>
  <si>
    <t>Link Xoá lọc</t>
  </si>
  <si>
    <t>Kiểm tra click Xoá lọc khi chưa chọn giá trị nào</t>
  </si>
  <si>
    <t>1. Click link "Xoá lọc"</t>
  </si>
  <si>
    <t>1. Không có thay đổi, danh sách giữ nguyên, button Áp dụng vẫn disable</t>
  </si>
  <si>
    <t>[Bổ sung 02/10/2026] Kỹ thuật: Sơ đồ chuyển trạng thái</t>
  </si>
  <si>
    <t>Kiểm tra click Xoá lọc khi đã chọn nhưng chưa Áp dụng</t>
  </si>
  <si>
    <t>1. Chọn Chu kỳ = Ngày, Trạng thái = Nháp
 2. Click link "Xoá lọc"</t>
  </si>
  <si>
    <t>2. 
 - 4 trường lọc trở về trống
 - Button Áp dụng disable
 - Danh sách không thay đổi</t>
  </si>
  <si>
    <t>[Bổ sung 02/10/2026] Kỹ thuật: Sơ đồ chuyển trạng thái (Đã chọn → Mặc định)</t>
  </si>
  <si>
    <t>Kiểm tra click Xoá lọc khi đang áp dụng bộ lọc</t>
  </si>
  <si>
    <t>ĐK: Đang áp dụng lọc Trạng thái = Nháp
 1. Click link "Xoá lọc"</t>
  </si>
  <si>
    <t>1. 
 - 4 trường lọc trở về trống, button Áp dụng disable
 - Danh sách tự động hiển thị lại đầy đủ như mặc định, về trang 1</t>
  </si>
  <si>
    <t>[Bổ sung 02/10/2026] Kỹ thuật: Sơ đồ chuyển trạng thái (Đã áp dụng → Mặc định) - Cần BA confirm xoá lọc có tự tải lại danh sách không</t>
  </si>
  <si>
    <t>Đóng/mở tab và lưu điều kiện lọc</t>
  </si>
  <si>
    <t>Kiểm tra đóng tab Bộ lọc khi đang áp dụng lọc</t>
  </si>
  <si>
    <t>ĐK: Đang áp dụng lọc Chu kỳ = Tháng
 1. Click icon Bộ lọc đóng tab
 2. Click icon Bộ lọc mở lại tab</t>
  </si>
  <si>
    <t>1. Danh sách vẫn giữ kết quả lọc Chu kỳ = Tháng
 2. Trường Chu kỳ hiển thị đúng giá trị "Tháng" đã áp dụng</t>
  </si>
  <si>
    <t>Kiểm tra đóng tab Bộ lọc khi đã chọn nhưng chưa Áp dụng</t>
  </si>
  <si>
    <t>1. Chọn Trạng thái = Nháp (chưa Áp dụng)
 2. Click icon Bộ lọc đóng tab
 3. Mở lại tab Bộ lọc</t>
  </si>
  <si>
    <t>2. Danh sách không thay đổi
 3. Trường Trạng thái trống (giá trị chưa áp dụng bị huỷ)</t>
  </si>
  <si>
    <t>Kiểm tra tải lại trang khi đang áp dụng lọc</t>
  </si>
  <si>
    <t>ĐK: Đang áp dụng lọc Trạng thái = Nháp
 1. Nhấn F5</t>
  </si>
  <si>
    <t>1. Xoá điều kiện lọc, hiển thị danh sách mặc định, tab Bộ lọc đóng</t>
  </si>
  <si>
    <t>[Bổ sung 02/10/2026] Cần BA confirm (tham chiếu sheet CMS-CTKM: reload page → xoá điều kiện và kết quả tìm kiếm)</t>
  </si>
  <si>
    <t>Kiểm tra điều kiện lọc khi chuyển sang màn khác rồi quay lại</t>
  </si>
  <si>
    <t>ĐK: Đang áp dụng lọc Trạng thái = Nháp
 1. Click menu Quản lý loại gói cước
 2. Click lại menu Quản lý gói cước</t>
  </si>
  <si>
    <t>2. Hiển thị danh sách mặc định, không giữ điều kiện lọc</t>
  </si>
  <si>
    <t>Kiểm tra điều kiện lọc sau khi xem chi tiết gói rồi quay lại</t>
  </si>
  <si>
    <t>ĐK: Đang áp dụng lọc Trạng thái = Nháp
 1. Click icon (i) tại 1 gói cước
 2. Click Back về danh sách</t>
  </si>
  <si>
    <t>2. Danh sách vẫn giữ điều kiện lọc Trạng thái = Nháp</t>
  </si>
  <si>
    <t>Kết hợp Bộ lọc - Tìm kiếm - Sắp xếp - Phân trang - Cài đặt bảng</t>
  </si>
  <si>
    <t>Bộ lọc + Ô tìm kiếm</t>
  </si>
  <si>
    <t>Kiểm tra lọc kết hợp từ khoá ô tìm kiếm</t>
  </si>
  <si>
    <t>ĐK: Có gói "HOAI1" Nháp và "HOAI3" Đang kinh doanh
 1. Nhập "HOAI" vào ô tìm kiếm
 2. Mở tab Bộ lọc, chọn Trạng thái = Nháp, click Áp dụng</t>
  </si>
  <si>
    <t>2. Chỉ hiển thị gói thoả cả từ khoá "HOAI" và Trạng thái = Nháp (HOAI1)</t>
  </si>
  <si>
    <t>[Bổ sung 02/10/2026] Kỹ thuật: Bảng quyết định (R5: từ khoá VÀ bộ lọc)</t>
  </si>
  <si>
    <t>Kiểm tra nhập từ khoá tìm kiếm khi đang áp dụng lọc</t>
  </si>
  <si>
    <t>ĐK: Đang áp dụng lọc Trạng thái = Nháp
 1. Nhập "HOAI1" vào ô tìm kiếm</t>
  </si>
  <si>
    <t>1. Tìm kiếm trong phạm vi kết quả lọc, điều kiện lọc vẫn giữ nguyên</t>
  </si>
  <si>
    <t>[Bổ sung 02/10/2026] Kỹ thuật: Bảng quyết định (R5)</t>
  </si>
  <si>
    <t>Kiểm tra Xoá lọc không xoá từ khoá ô tìm kiếm</t>
  </si>
  <si>
    <t>ĐK: Đang có từ khoá "HOAI" và lọc Trạng thái = Nháp
 1. Click link "Xoá lọc"</t>
  </si>
  <si>
    <t>1. Chỉ xoá điều kiện lọc; ô tìm kiếm vẫn giữ "HOAI", danh sách hiển thị theo từ khoá</t>
  </si>
  <si>
    <t>Bộ lọc + Sắp xếp</t>
  </si>
  <si>
    <t>Kiểm tra sắp xếp cột trong kết quả lọc</t>
  </si>
  <si>
    <t>ĐK: Đang áp dụng lọc Trạng thái = Nháp
 1. Mở rộng 1 loại gói
 2. Click icon ⇅ tại cột Giá gốc</t>
  </si>
  <si>
    <t>2. Chỉ các gói Nháp được sắp xếp theo giá tăng dần, không xuất hiện gói trạng thái khác</t>
  </si>
  <si>
    <t>[Bổ sung 02/10/2026] Liên quan TC-53</t>
  </si>
  <si>
    <t>Bộ lọc + Phân trang</t>
  </si>
  <si>
    <t>Kiểm tra chuyển trang khi đang áp dụng lọc</t>
  </si>
  <si>
    <t>ĐK: Kết quả lọc nhiều hơn 10 loại gói cước
 1. Click trang 2</t>
  </si>
  <si>
    <t>1. Trang 2 hiển thị tiếp kết quả lọc, điều kiện lọc giữ nguyên</t>
  </si>
  <si>
    <t>Kiểm tra đổi số dòng/trang khi đang áp dụng lọc</t>
  </si>
  <si>
    <t>ĐK: Đang áp dụng lọc Trạng thái = Nháp
 1. Chọn 20 dòng</t>
  </si>
  <si>
    <t>1. Danh sách về trang 1, hiển thị tối đa 20 loại gói cước thoả điều kiện lọc; điều kiện lọc giữ nguyên</t>
  </si>
  <si>
    <t>[Bổ sung 02/10/2026] Liên quan TC-84</t>
  </si>
  <si>
    <t>Bộ lọc + Cài đặt bảng</t>
  </si>
  <si>
    <t>Kiểm tra lọc theo trường có cột đang bị ẩn</t>
  </si>
  <si>
    <t>ĐK: Đã ẩn cột Trạng thái tại Cài đặt bảng
 1. Chọn Trạng thái = Nháp
 2. Click Áp dụng</t>
  </si>
  <si>
    <t>2. Danh sách vẫn lọc đúng các gói Nháp dù cột Trạng thái không hiển thị</t>
  </si>
  <si>
    <t>Kiểm tra tìm kiếm khi cột Mã gói đang bị ẩn</t>
  </si>
  <si>
    <t>ĐK: Đã ẩn cột Mã gói tại Cài đặt bảng
 1. Nhập mã gói "HOAI2" vào ô tìm kiếm</t>
  </si>
  <si>
    <t>1. Vẫn tìm thấy gói HOAI2 (dữ liệu tìm kiếm không phụ thuộc cột hiển thị)</t>
  </si>
  <si>
    <t>Kiểm tra cấu hình cột giữ nguyên khi áp dụng và xoá lọc</t>
  </si>
  <si>
    <t>ĐK: Đã ẩn cột Kênh bán
 1. Lọc Trạng thái = Nháp, click Áp dụng
 2. Click "Xoá lọc"</t>
  </si>
  <si>
    <t>1., 2. Cột Kênh bán vẫn bị ẩn</t>
  </si>
  <si>
    <t>Bộ lọc + Xuất file excel</t>
  </si>
  <si>
    <t>Kiểm tra Xuất file excel khi đang lọc và đang ẩn cột</t>
  </si>
  <si>
    <t>ĐK: Đang lọc Trạng thái = Nháp, đã ẩn cột Kênh bán
 1. Click button Xuất file excel</t>
  </si>
  <si>
    <t>1. File xuất theo điều kiện lọc đang áp dụng (không chỉ trang đang xem)</t>
  </si>
  <si>
    <t>[Bổ sung 02/10/2026] Tính năng Xuất excel đang phát triển (TC-13) → chấm N/A - Cần BA confirm có xuất theo cột đang hiển thị không</t>
  </si>
  <si>
    <t>Ngoại lệ &amp; phi chức năng</t>
  </si>
  <si>
    <t>Kiểm tra click Áp dụng khi mất kết nối mạng</t>
  </si>
  <si>
    <t>1. Chọn Trạng thái = Nháp
 2. Ngắt kết nối mạng
 3. Click Áp dụng</t>
  </si>
  <si>
    <t>3. Hiển thị toast "Thất bại. Vui lòng kiểm tra lại kết nối.", giữ nguyên danh sách và giá trị đã chọn</t>
  </si>
  <si>
    <t>[Bổ sung 02/10/2026] Toast theo TC-94</t>
  </si>
  <si>
    <t>Kiểm tra click Áp dụng khi API lọc lỗi hệ thống</t>
  </si>
  <si>
    <t>ĐK: API danh sách trả lỗi 500
 1. Chọn Trạng thái = Nháp
 2. Click Áp dụng</t>
  </si>
  <si>
    <t>2. Hiển thị toast "Hệ thống bận. Vui lòng thử lại sau." kèm mã lỗi tương ứng, cho phép thử lại</t>
  </si>
  <si>
    <t>[Bổ sung 02/10/2026] Toast theo TC-96</t>
  </si>
  <si>
    <t>Kiểm tra tham số gửi lên API khi Áp dụng</t>
  </si>
  <si>
    <t>1. Mở DevTools &gt; Network
 2. Chọn Chu kỳ = Ngày, Trạng thái = Nháp, Đang kinh doanh
 3. Click Áp dụng</t>
  </si>
  <si>
    <t>3. Request API danh sách gửi đúng tham số lọc (chu kỳ = Ngày; trạng thái = Nháp, Đang kinh doanh), trang = 1</t>
  </si>
  <si>
    <t>[Bổ sung 02/10/2026] Bổ sung tên API và tên tham số sau khi dev cung cấp</t>
  </si>
  <si>
    <t>Kiểm tra kết quả lọc khớp với CSDL</t>
  </si>
  <si>
    <t>1. Áp dụng lọc Chu kỳ = Tháng, Loại hình gói = Chính
 2. Đối chiếu kết quả với truy vấn DB cùng điều kiện (loại trừ gói Đã xoá)</t>
  </si>
  <si>
    <t>2. Số lượng và danh sách gói hiển thị khớp kết quả truy vấn DB</t>
  </si>
  <si>
    <t>Kiểm tra thời gian phản hồi khi Áp dụng lọc</t>
  </si>
  <si>
    <t>ĐK: Có ≥ 100 loại gói cước
 1. Chọn đủ 4 trường lọc
 2. Click Áp dụng, đo thời gian phản hồi API</t>
  </si>
  <si>
    <t>2. API phản hồi &lt; 500ms</t>
  </si>
  <si>
    <t>[Bổ sung 02/10/2026] Ngưỡng theo TC-99</t>
  </si>
  <si>
    <t>Kiểm tra giao diện tab Bộ lọc và popup Cài đặt bảng khi thu nhỏ, phóng to</t>
  </si>
  <si>
    <t>1. Mở tab Bộ lọc
 2. Nhấn Ctrl - và Ctrl +
 3. Mở popup Cài đặt bảng, nhấn Ctrl - và Ctrl +</t>
  </si>
  <si>
    <t>2., 3. Tab Bộ lọc, popup Cài đặt bảng co giãn tương ứng, không vỡ layout, button Áp dụng / Cập nhật luôn nhìn thấy và thao tác được</t>
  </si>
  <si>
    <t>Kiểm tra thao tác bàn phím trong tab Bộ lọc</t>
  </si>
  <si>
    <t>1. Mở tab Bộ lọc
 2. Nhấn Tab liên tục</t>
  </si>
  <si>
    <t>2. Con trỏ di chuyển lần lượt: Xoá lọc → Chu kỳ → Loại hình gói → Trạng thái → Kênh phân phối → Áp dụng (khi enable)</t>
  </si>
  <si>
    <t>Kiểm tra ngoại lệ &amp; phi chức năng</t>
  </si>
  <si>
    <t>Lỗi mạng</t>
  </si>
  <si>
    <t>Kiểm tra tải danh sách khi mất kết nối mạng</t>
  </si>
  <si>
    <t>1. Ngắt kết nối mạng
 2. Truy cập màn hình Quản lý gói cước</t>
  </si>
  <si>
    <t>2. Hiển thị toast "Thất bại. Vui lòng kiểm tra lại kết nối." và cho phép người dùng thử lại</t>
  </si>
  <si>
    <t>Kiểm tra thử lại sau khi có mạng trở lại</t>
  </si>
  <si>
    <t>ĐK: Đang hiển thị toast lỗi mạng
 1. Bật lại mạng
 2. Thực hiện thử lại</t>
  </si>
  <si>
    <t>2. Danh sách tải thành công, hiển thị đúng dữ liệu</t>
  </si>
  <si>
    <t>Lỗi hệ thống</t>
  </si>
  <si>
    <t>Kiểm tra tải danh sách khi API lỗi hệ thống</t>
  </si>
  <si>
    <t>ĐK: API danh sách trả lỗi 500
 1. Truy cập màn hình Quản lý gói cước</t>
  </si>
  <si>
    <t>1. Hiển thị toast "Hệ thống bận. Vui lòng thử lại sau." kèm mã lỗi tương ứng, cho phép thử lại</t>
  </si>
  <si>
    <t>Phân quyền</t>
  </si>
  <si>
    <t>Kiểm tra truy cập khi tài khoản không có quyền xem phân hệ Gói cước</t>
  </si>
  <si>
    <t>ĐK: Tài khoản Admin không có quyền phân hệ Gói cước
 1. Đăng nhập CMS
 2. Kiểm tra menu / truy cập trực tiếp URL màn hình</t>
  </si>
  <si>
    <t>2. Không hiển thị menu Quản lý gói cước; truy cập URL trực tiếp bị chặn</t>
  </si>
  <si>
    <t>Dữ liệu</t>
  </si>
  <si>
    <t>Kiểm tra dữ liệu danh sách khớp với CSDL</t>
  </si>
  <si>
    <t>1. Mở rộng các dòng cha
 2. Đối chiếu Mã gói, Chu kỳ, Giá, Kênh bán, Loại hình, Trạng thái với DB</t>
  </si>
  <si>
    <t>2. Dữ liệu hiển thị khớp CSDL; xem danh sách không làm thay đổi dữ liệu</t>
  </si>
  <si>
    <t>Hiệu năng</t>
  </si>
  <si>
    <t>Kiểm tra thời gian tải danh sách</t>
  </si>
  <si>
    <t>ĐK: Có ≥ 100 loại gói cước
 1. Truy cập màn hình Quản lý gói cước
 2. Đo thời gian phản hồi API</t>
  </si>
  <si>
    <t>Cần bổ sung thêm TC cài đặt bảng và bộ lọc</t>
  </si>
  <si>
    <t>UC2: (CMS admin) Chức năng Tạo mới gói cước</t>
  </si>
  <si>
    <t>Pre-condition: 
 Bước 1: Admin đăng nhập thành công vào CMS với quyền Quản lý gói cước
 Bước 2: Hệ thống có ít nhất 01 Loại gói cước trạng thái Đang hoạt động
 Bước 3: Click menu Quản lý gói cước &gt; mở rộng 1 loại gói &gt; click "+ Thêm gói cước"</t>
  </si>
  <si>
    <t>Kiểm tra hiển thị giao diện</t>
  </si>
  <si>
    <t>1. Vào màn Tạo gói cước mới
 2. Check hiển thị</t>
  </si>
  <si>
    <t>2. Hiển thị màn Tạo gói cước mới đúng design gồm:
 + Icon Back, tiêu đề "Tạo gói cước mới", button Lưu
 + Khối Thông tin cơ bản: Mã gói cước, Tag, Mô tả, Chu kỳ, Đơn vị, Giá gốc, Đơn vị tính
 + Khối Thuộc tính: Loại hình gói, Kênh bán, Bật/tắt trạng thái và các trường phụ thuộc
 + Khối Danh sách tính năng theo loại gói</t>
  </si>
  <si>
    <t>Kiểm tra khi nhấn Tab</t>
  </si>
  <si>
    <t>1. Thực hiện nhấn nút Tab ở bàn phím máy tính
 2. Check hiển thị</t>
  </si>
  <si>
    <t>2. Con trỏ di chuyển lần lượt theo thứ tự: Từ trái qua phải, từ trên xuống dưới</t>
  </si>
  <si>
    <t>Kiểm tra khi nhấn Shift-tab</t>
  </si>
  <si>
    <t>1. Thực hiện nhấn nút Shift-Tab ở bàn phím máy tính
 2. Check hiển thị</t>
  </si>
  <si>
    <t>2. Con trỏ di chuyển ngược lại theo thứ tự: từ dưới lên trên, từ phải qua trái</t>
  </si>
  <si>
    <t>1. Thực hiện zoom in, zoom out &gt; check hiển thị</t>
  </si>
  <si>
    <t>1. Hiển thị màn hình phóng to, thu nhỏ không bị xô lệch, vỡ form</t>
  </si>
  <si>
    <t>Kiểm tra tiêu đề</t>
  </si>
  <si>
    <t>1. Kiểm tra text tiêu đề</t>
  </si>
  <si>
    <t>1. Hiển thị tiêu đề text là "Tạo gói cước mới"</t>
  </si>
  <si>
    <t>Theo design</t>
  </si>
  <si>
    <t>Kiểm tra dấu * các trường bắt buộc</t>
  </si>
  <si>
    <t>1. Kiểm tra label các trường</t>
  </si>
  <si>
    <t>1. Hiển thị dấu * đỏ tại: Mã gói cước, Chu kỳ, Đơn vị, Giá gốc, Đơn vị tính, Loại hình gói, Kênh bán, Bật/tắt trạng thái, Loại gói cước, Tham số</t>
  </si>
  <si>
    <t>Kiểm tra giá trị mặc định khi mở form</t>
  </si>
  <si>
    <t>1. Kiểm tra giá trị mặc định các trường</t>
  </si>
  <si>
    <t>1. 
 - Mã gói, Mô tả, Chu kỳ, Giá gốc, Tag, Kênh bán: rỗng
 - Đơn vị: Ngày; Đơn vị tính: VNĐ
 - Loại hình gói: Gói chính
 - Bật/tắt trạng thái: Thủ công; Trạng thái kinh doanh: Đang kinh doanh
 - Số lượng đăng ký giới hạn: rỗng</t>
  </si>
  <si>
    <t>Kiểm tra button Lưu</t>
  </si>
  <si>
    <t>1. Kiểm tra hiển thị button Lưu</t>
  </si>
  <si>
    <t>1. Hiển thị button "Lưu" góc phải trên, trạng thái enable</t>
  </si>
  <si>
    <t>Kiểm tra validate</t>
  </si>
  <si>
    <t>Kiểm tra trường Mã gói cước</t>
  </si>
  <si>
    <t>Kiểm tra hiển thị mặc định</t>
  </si>
  <si>
    <t>1. Kiểm tra hiển thị</t>
  </si>
  <si>
    <t>1. Hiển thị trường Mã gói cước ban đầu mặc định trống</t>
  </si>
  <si>
    <t>Kiểm tra để trống</t>
  </si>
  <si>
    <t>1. Để trống Mã gói cước
 2. Nhập đủ các trường còn lại hợp lệ
 3. Click Lưu</t>
  </si>
  <si>
    <t>3. Hiển thị lỗi inline: "Vui lòng nhập thông tin", không lưu gói cước</t>
  </si>
  <si>
    <t>Kiểm tra nhập toàn dấu cách</t>
  </si>
  <si>
    <t>1. Nhập toàn ký tự space
 2. Click Lưu</t>
  </si>
  <si>
    <t>2. Hiển thị lỗi inline: "Vui lòng nhập thông tin" hoặc tự động trim khoảng trắng đầu cuối</t>
  </si>
  <si>
    <t>Kiểm tra tự động chuyển chữ thường thành chữ hoa</t>
  </si>
  <si>
    <t>1. Nhập "oaplus30"</t>
  </si>
  <si>
    <t>1. Trường tự động hiển thị "OAPLUS30"</t>
  </si>
  <si>
    <t>Kiểm tra tự động bỏ dấu tiếng Việt</t>
  </si>
  <si>
    <t>1. Nhập "gói cước ưu đãi"</t>
  </si>
  <si>
    <t>1. Trường tự động hiển thị dạng viết hoa không dấu: "GOI CUOC UU DAI"</t>
  </si>
  <si>
    <t>Mục QL gói cước - UC2 tạo mới gói cước STT 1 - SRS chưa nêu có cho phép khoảng trắng trong mã không, Cần BA confirm</t>
  </si>
  <si>
    <t>Kiểm tra nhập ký tự đặc biệt</t>
  </si>
  <si>
    <t>1. Nhập "OA_PLUS-30@#"
 2. Check hiển thị</t>
  </si>
  <si>
    <t>2. Hệ thống xử lý theo rule ký tự của mã gói</t>
  </si>
  <si>
    <t>Mục QL gói cước - UC2 tạo mới gói cước STT 1 - SRS chưa quy định tập ký tự cho phép, Cần BA confirm</t>
  </si>
  <si>
    <t>Kiểm tra nhập 49 ký tự</t>
  </si>
  <si>
    <t>1. Nhập 49 ký tự
 2. Check hiển thị</t>
  </si>
  <si>
    <t>2. Hiển thị đủ 49 ký tự vừa nhập, không báo lỗi</t>
  </si>
  <si>
    <t>Kiểm tra nhập 50 ký tự</t>
  </si>
  <si>
    <t>1. Nhập 50 ký tự
 2. Check hiển thị</t>
  </si>
  <si>
    <t>2. Hiển thị đủ 50 ký tự vừa nhập, không báo lỗi</t>
  </si>
  <si>
    <t>Kiểm tra nhập 51 ký tự</t>
  </si>
  <si>
    <t>1. Nhập 51 ký tự
 2. Check hiển thị</t>
  </si>
  <si>
    <t>2. Chặn nhập ký tự thứ 51, chỉ cho phép 50 ký tự</t>
  </si>
  <si>
    <t>Kiểm tra paste chuỗi vượt 50 ký tự</t>
  </si>
  <si>
    <t>ĐK: Đã copy chuỗi 60 ký tự
 1. Paste vào trường Mã gói cước</t>
  </si>
  <si>
    <t>1. Chỉ giữ 50 ký tự đầu</t>
  </si>
  <si>
    <t>Kiểm tra nhập mã trùng với gói cước đang tồn tại</t>
  </si>
  <si>
    <t>ĐK: Đã có gói mã "OAPLUS30" trạng thái Nháp
 1. Nhập "OAPLUS30"
 2. Nhập đủ trường khác
 3. Click Lưu</t>
  </si>
  <si>
    <t>3. Hiển thị lỗi inline: "Mã gói đã được sử dụng", không lưu gói cước</t>
  </si>
  <si>
    <t>Kiểm tra trùng mã với gói ở trạng thái Đang kinh doanh / Ngừng kinh doanh / Đã phát hành</t>
  </si>
  <si>
    <t>ĐK: Có gói mã A (Đang kinh doanh), B (Ngừng kinh doanh), C (Đã phát hành)
 1. Lần lượt nhập mã A, B, C
 2. Click Lưu</t>
  </si>
  <si>
    <t>2. Cả 3 trường hợp đều hiển thị lỗi inline: "Mã gói đã được sử dụng"</t>
  </si>
  <si>
    <t>Kiểm tra mã trùng với gói cước trạng thái Đã xoá</t>
  </si>
  <si>
    <t>ĐK: Gói mã "OAPLUS60" đã bị xoá
 1. Nhập "OAPLUS60"
 2. Nhập đủ trường khác
 3. Click Lưu</t>
  </si>
  <si>
    <t>3. Cho phép lưu, tạo gói cước thành công</t>
  </si>
  <si>
    <t>Kiểm tra mã trùng với gói thuộc loại gói khác</t>
  </si>
  <si>
    <t>ĐK: Mã "OAPLUS30" đã tồn tại ở loại gói A
 1. Tạo gói trong loại gói B với mã "OAPLUS30"
 2. Click Lưu</t>
  </si>
  <si>
    <t>2. Hiển thị lỗi inline: "Mã gói đã được sử dụng" (mã duy nhất toàn hệ thống)</t>
  </si>
  <si>
    <t>Kiểm tra mã trùng khi khác chữ hoa/thường</t>
  </si>
  <si>
    <t>ĐK: Mã "OAPLUS30" đã tồn tại
 1. Nhập "oaplus30"
 2. Click Lưu</t>
  </si>
  <si>
    <t>2. Mã tự chuyển thành "OAPLUS30" và báo lỗi "Mã gói đã được sử dụng"</t>
  </si>
  <si>
    <t>Kiểm tra copy/paste dữ liệu</t>
  </si>
  <si>
    <t>1. Copy chuỗi hợp lệ từ vùng khác
 2. Paste vào Mã gói cước</t>
  </si>
  <si>
    <t>2. Paste dữ liệu thành công, áp dụng rule viết hoa/không dấu</t>
  </si>
  <si>
    <t>Kiểm tra trường Mô tả gói cước</t>
  </si>
  <si>
    <t>1. Hiển thị trường Mô tả dạng textarea, mặc định trống</t>
  </si>
  <si>
    <t>Kiểm tra để trống Mô tả</t>
  </si>
  <si>
    <t>1. Để trống Mô tả
 2. Nhập đủ các trường bắt buộc khác
 3. Click Lưu</t>
  </si>
  <si>
    <t>3. Cho phép lưu thành công (trường không bắt buộc)</t>
  </si>
  <si>
    <t>Kiểm tra nhập 499 ký tự</t>
  </si>
  <si>
    <t>1. Nhập 499 ký tự</t>
  </si>
  <si>
    <t>1. Hiển thị đủ dữ liệu vừa nhập</t>
  </si>
  <si>
    <t>Kiểm tra nhập 500 ký tự</t>
  </si>
  <si>
    <t>1. Nhập 500 ký tự</t>
  </si>
  <si>
    <t>Kiểm tra nhập 501 ký tự</t>
  </si>
  <si>
    <t>1. Nhập 501 ký tự</t>
  </si>
  <si>
    <t>1. Chặn nhập ký tự thứ 501, chỉ cho phép 500 ký tự</t>
  </si>
  <si>
    <t>Kiểm tra nhập tất cả loại ký tự</t>
  </si>
  <si>
    <t>1. Nhập chuỗi gồm chữ, số, ký tự đặc biệt, tiếng Việt có dấu, emoji
 2. Click Lưu</t>
  </si>
  <si>
    <t>2. Cho phép nhập và lưu đúng dữ liệu</t>
  </si>
  <si>
    <t>Kiểm tra định dạng html gạch đầu dòng</t>
  </si>
  <si>
    <t>1. Nhập mô tả có gạch đầu dòng (định dạng html)
 2. Lưu và xem chi tiết</t>
  </si>
  <si>
    <t>2. Mô tả hiển thị đúng định dạng gạch đầu dòng</t>
  </si>
  <si>
    <t>Kiểm tra nhập mã script</t>
  </si>
  <si>
    <t>1. Nhập "&lt;script&gt;alert(1)&lt;/script&gt;"
 2. Lưu và xem chi tiết</t>
  </si>
  <si>
    <t>2. Không thực thi script, hiển thị dạng text</t>
  </si>
  <si>
    <t>Kiểm tra trường Chu kỳ</t>
  </si>
  <si>
    <t>1. Để trống Chu kỳ
 2. Click Lưu</t>
  </si>
  <si>
    <t>2. Hiển thị lỗi inline: "Vui lòng nhập thông tin"</t>
  </si>
  <si>
    <t>Kiểm tra nhập 0</t>
  </si>
  <si>
    <t>1. Nhập 0
 2. Click Lưu</t>
  </si>
  <si>
    <t>2. Chặn không cho nhập, chu kỳ phải là số nguyên dương &gt; 0</t>
  </si>
  <si>
    <t>Kiểm tra nhập 1</t>
  </si>
  <si>
    <t>1. Nhập 1
 2. Nhập đủ trường khác
 3. Click Lưu</t>
  </si>
  <si>
    <t>3. Cho phép lưu thành công</t>
  </si>
  <si>
    <t>Kiểm tra nhập số âm</t>
  </si>
  <si>
    <t>1. Nhập -1</t>
  </si>
  <si>
    <t>1. Chặn không cho nhập dấu "-"</t>
  </si>
  <si>
    <t>Kiểm tra nhập số thập phân</t>
  </si>
  <si>
    <t>1. Nhập 1.5</t>
  </si>
  <si>
    <t>1. Chặn không cho nhập (chỉ cho số nguyên)</t>
  </si>
  <si>
    <t>Kiểm tra nhập chữ và ký tự đặc biệt</t>
  </si>
  <si>
    <t>1. Nhập "abc@#"</t>
  </si>
  <si>
    <t>1. Chặn không cho nhập</t>
  </si>
  <si>
    <t>Kiểm tra nhập giá trị lớn</t>
  </si>
  <si>
    <t>1. Nhập 2147483647
 2. Nhập 2147483648</t>
  </si>
  <si>
    <t>2. Chặn/báo lỗi khi vượt giới hạn INT</t>
  </si>
  <si>
    <t>Mục QL gói cước - UC2 tạo mới gói cước STT 3 -SRS chưa nêu max chu kỳ, Cần BA confirm</t>
  </si>
  <si>
    <t>Kiểm tra trùng chu kỳ cùng đơn vị với gói khác cùng loại gói</t>
  </si>
  <si>
    <t>ĐK: Loại gói A đã có gói 30 Ngày
 1. Tạo gói thuộc loại gói A: Chu kỳ 30, Đơn vị Ngày
 2. Click Lưu</t>
  </si>
  <si>
    <t>2. Hiển thị lỗi: "Đã có gói cùng chu kì thuộc cùng loại gói", không lưu</t>
  </si>
  <si>
    <t>Kiểm tra trùng chu kỳ sau quy đổi Tháng = Ngày</t>
  </si>
  <si>
    <t>ĐK: Loại gói A đã có gói 30 Ngày
 1. Tạo gói thuộc loại gói A: Chu kỳ 1, Đơn vị Tháng
 2. Click Lưu</t>
  </si>
  <si>
    <t>2. Hiển thị lỗi: "Đã có gói cùng chu kì thuộc cùng loại gói" (1 tháng = 30 ngày)</t>
  </si>
  <si>
    <t>Kiểm tra trùng chu kỳ sau quy đổi Tuần = Ngày</t>
  </si>
  <si>
    <t>ĐK: Loại gói A đã có gói 14 Ngày
 1. Tạo gói thuộc loại gói A: Chu kỳ 2, Đơn vị Tuần
 2. Click Lưu</t>
  </si>
  <si>
    <t>2. Hiển thị lỗi: "Đã có gói cùng chu kì thuộc cùng loại gói" (2 tuần = 14 ngày)</t>
  </si>
  <si>
    <t>Kiểm tra trùng chu kỳ sau quy đổi Năm = Tháng</t>
  </si>
  <si>
    <t>ĐK: Loại gói A đã có gói 12 Tháng
 1. Tạo gói thuộc loại gói A: Chu kỳ 1, Đơn vị Năm
 2. Click Lưu</t>
  </si>
  <si>
    <t>2. Hiển thị lỗi: "Đã có gói cùng chu kì thuộc cùng loại gói" (1 năm = 360 ngày = 12 tháng)</t>
  </si>
  <si>
    <t>Kiểm tra chu kỳ lệch 1 ngày so với gói đã có</t>
  </si>
  <si>
    <t>ĐK: Loại gói A đã có gói 1 Tháng (30 ngày)
 1. Tạo gói 29 Ngày, Lưu
 2. Tạo gói 31 Ngày, Lưu</t>
  </si>
  <si>
    <t>2. Cả 2 gói đều lưu thành công</t>
  </si>
  <si>
    <t>Kiểm tra trùng chu kỳ với gói ở loại gói khác</t>
  </si>
  <si>
    <t>ĐK: Loại gói A đã có gói 30 Ngày
 1. Tạo gói thuộc loại gói B: 30 Ngày
 2. Click Lưu</t>
  </si>
  <si>
    <t>2. Cho phép lưu thành công</t>
  </si>
  <si>
    <t>Kiểm tra trùng chu kỳ với gói cùng loại gói ở các trạng thái</t>
  </si>
  <si>
    <t>ĐK: Loại gói A có gói 30 Ngày lần lượt ở trạng thái Nháp / Đã phát hành / Đang kinh doanh / Ngừng kinh doanh
 1. Tạo gói 30 Ngày thuộc loại gói A
 2. Click Lưu</t>
  </si>
  <si>
    <t>2. Tất cả trường hợp đều báo lỗi "Đã có gói cùng chu kì thuộc cùng loại gói"</t>
  </si>
  <si>
    <t>Kiểm tra trùng chu kỳ với gói cùng loại gói trạng thái Đã xoá</t>
  </si>
  <si>
    <t>ĐK: Loại gói A có gói 30 Ngày đã bị xoá
 1. Tạo gói 30 Ngày thuộc loại gói A
 2. Click Lưu</t>
  </si>
  <si>
    <t>Kiểm tra trường Đơn vị (chu kỳ)</t>
  </si>
  <si>
    <t>Kiểm tra giá trị mặc định</t>
  </si>
  <si>
    <t>1. Kiểm tra dropdown Đơn vị</t>
  </si>
  <si>
    <t>1. Mặc định chọn "Ngày"</t>
  </si>
  <si>
    <t>Kiểm tra danh sách giá trị</t>
  </si>
  <si>
    <t>1. Click dropdown Đơn vị</t>
  </si>
  <si>
    <t>1. Hiển thị 4 giá trị: Ngày, Tuần, Tháng, Năm</t>
  </si>
  <si>
    <t>Kiểm tra chọn giá trị</t>
  </si>
  <si>
    <t>1. Chọn "Tháng"</t>
  </si>
  <si>
    <t>1. Hiển thị "Tháng", đóng dropdown; chỉ chọn được 1 giá trị</t>
  </si>
  <si>
    <t>Kiểm tra trường Giá gốc</t>
  </si>
  <si>
    <t>1. Để trống Giá gốc
 2. Click Lưu</t>
  </si>
  <si>
    <t>Kiểm tra tự động format dấu phân cách hàng nghìn</t>
  </si>
  <si>
    <t>1. Nhập 1119000</t>
  </si>
  <si>
    <t>1. Hiển thị "1.119.000"</t>
  </si>
  <si>
    <t>1. Nhập -1000</t>
  </si>
  <si>
    <t>1. Nhập 1000,5</t>
  </si>
  <si>
    <t>1. Chặn không cho nhập phần thập phân (số tiền nguyên)</t>
  </si>
  <si>
    <t>1. Nhập "abc@"</t>
  </si>
  <si>
    <t>Kiểm tra nhập 13 chữ số</t>
  </si>
  <si>
    <t>1. Nhập 9999999999999</t>
  </si>
  <si>
    <t>1. Hiển thị "9.999.999.999.999", cho phép lưu</t>
  </si>
  <si>
    <t>Kiểm tra nhập 14 chữ số</t>
  </si>
  <si>
    <t>1. Nhập 99999999999999</t>
  </si>
  <si>
    <t>1. Chặn nhập chữ số thứ 14</t>
  </si>
  <si>
    <t>Mục QL gói cước - UC2 tạo mới gói cước STT 5 DECIMAL(15,2) SRS chưa nêu max, Cần BA confirm</t>
  </si>
  <si>
    <t>Kiểm tra trường Đơn vị tính (tiền)</t>
  </si>
  <si>
    <t>Kiểm tra giá trị mặc định và không cho sửa</t>
  </si>
  <si>
    <t>1. Kiểm tra trường Đơn vị tính
 2. Click vào trường</t>
  </si>
  <si>
    <t>2. Hiển thị "VNĐ" dạng read-only (nền xám), không sửa được</t>
  </si>
  <si>
    <t>Kiểm tra trường Loại hình gói</t>
  </si>
  <si>
    <t>1. Kiểm tra Loại hình gói</t>
  </si>
  <si>
    <t>1. Mặc định "Gói chính"</t>
  </si>
  <si>
    <t>Kiểm tra danh sách lựa chọn</t>
  </si>
  <si>
    <t>1. Click dropdown Loại hình gói</t>
  </si>
  <si>
    <t>1. Hiển thị 3 lựa chọn: Gói chính, Gói add-on, Gói nền</t>
  </si>
  <si>
    <t>Kiểm tra chọn Gói add-on và lưu</t>
  </si>
  <si>
    <t>1. Chọn "Gói add-on"
 2. Nhập đủ trường khác
 3. Click Lưu</t>
  </si>
  <si>
    <t>3. Lưu thành công, danh sách hiển thị Loại hình = Add-on</t>
  </si>
  <si>
    <t>Kiểm tra trường Tag</t>
  </si>
  <si>
    <t>Kiểm tra để trống Tag</t>
  </si>
  <si>
    <t>1. Để trống Tag
 2. Nhập đủ trường bắt buộc khác
 3. Click Lưu</t>
  </si>
  <si>
    <t>1. Nhập 50 ký tự</t>
  </si>
  <si>
    <t>1. Hiển thị đủ 50 ký tự</t>
  </si>
  <si>
    <t>1. Nhập 51 ký tự</t>
  </si>
  <si>
    <t>1. Chặn nhập ký tự thứ 51</t>
  </si>
  <si>
    <t>1. Nhập "Giảm 50% khi ra mắt! 🔥"
 2. Lưu</t>
  </si>
  <si>
    <t>Kiểm tra trường Kênh bán (phân phối)</t>
  </si>
  <si>
    <t>1. Click trường Kênh bán</t>
  </si>
  <si>
    <t>1. Hiển thị 2 lựa chọn: Miniapp gói cước Tammi, Web OA</t>
  </si>
  <si>
    <t>Kiểm tra không chọn kênh nào</t>
  </si>
  <si>
    <t>1. Không chọn Kênh bán
 2. Click Lưu</t>
  </si>
  <si>
    <t>2. Hiển thị lỗi bắt buộc "Vui lòng nhập thông tin" , không lưu gói cước</t>
  </si>
  <si>
    <t>Kiểm tra chọn 1 kênh</t>
  </si>
  <si>
    <t>1. Chọn "Web OA"
 2. Nhập đủ trường khác
 3. Click Lưu</t>
  </si>
  <si>
    <t>3. Lưu thành công, distribution_channels = ["WEB_OA"]</t>
  </si>
  <si>
    <t>Kiểm tra chọn nhiều kênh</t>
  </si>
  <si>
    <t>1. Chọn "Web OA" và "Miniapp gói cước Tammi"
 2. Click Lưu</t>
  </si>
  <si>
    <t>2. Lưu thành công, distribution_channels = ["WEB_OA", "MINIAPP_TAMMI"]</t>
  </si>
  <si>
    <t>Kiểm tra bỏ chọn kênh đã chọn</t>
  </si>
  <si>
    <t>1. Chọn "Web OA"
 2. Bỏ chọn "Web OA"</t>
  </si>
  <si>
    <t>2. Trường Kênh bán trở về rỗng</t>
  </si>
  <si>
    <t>Kiểm tra trường Bật/tắt trạng thái</t>
  </si>
  <si>
    <t>Kiểm tra chỉ chọn được 1 trong 2 lựa chọn</t>
  </si>
  <si>
    <t>1. Chọn "Thủ công"
 2. Chọn "Tự động"</t>
  </si>
  <si>
    <t>2. Chỉ 1 lựa chọn được tick tại 1 thời điểm; chọn Tự động thì Thủ công tự bỏ tick</t>
  </si>
  <si>
    <t>Kiểm tra hiển thị trường khi chọn Thủ công</t>
  </si>
  <si>
    <t>1. Chọn "Thủ công"
 2. Kiểm tra các trường phụ thuộc</t>
  </si>
  <si>
    <t>2. 
 - Hiển thị trường Trạng thái kinh doanh (Đang kinh doanh / Ngừng kinh doanh)
 - Ẩn/không bắt buộc Thời gian bắt đầu, Thời gian kết thúc</t>
  </si>
  <si>
    <t>Kiểm tra hiển thị trường khi chọn Tự động</t>
  </si>
  <si>
    <t>1. Chọn "Tự động"
 2. Kiểm tra các trường phụ thuộc</t>
  </si>
  <si>
    <t>2. 
 - Hiển thị Thời gian bắt đầu *, Thời gian kết thúc *
 - Ẩn trường Trạng thái kinh doanh</t>
  </si>
  <si>
    <t>Kiểm tra chuyển Tự động -&gt; Thủ công sau khi đã nhập thời gian</t>
  </si>
  <si>
    <t>1. Chọn Tự động, nhập Thời gian bắt đầu/kết thúc
 2. Chuyển sang Thủ công
 3. Click Lưu</t>
  </si>
  <si>
    <t>3. Lưu thành công, không validate thời gian; start_time/end_time không lưu</t>
  </si>
  <si>
    <t>Kiểm tra trường Trạng thái kinh doanh</t>
  </si>
  <si>
    <t>Kiểm tra giá trị mặc định và lựa chọn</t>
  </si>
  <si>
    <t>ĐK: Bật/tắt trạng thái = Thủ công
 1. Kiểm tra trường Trạng thái kinh doanh
 2. Click dropdown</t>
  </si>
  <si>
    <t>1. Mặc định "Đang kinh doanh"
 2. Hiển thị 2 lựa chọn: Đang kinh doanh, Ngừng kinh doanh</t>
  </si>
  <si>
    <t>1. Chọn "Đang kinh doanh"
 2. Chọn "Ngừng kinh doanh"</t>
  </si>
  <si>
    <t>2. Chỉ 1 lựa chọn được tick tại 1 thời điểm; chọn Đanh kinh doanh thì Ngừng kinh doanh tự bỏ tick</t>
  </si>
  <si>
    <t>Kiểm tra lưu với trạng thái kinh doanh Ngừng kinh doanh</t>
  </si>
  <si>
    <t>ĐK: Thủ công
 1. Chọn "Ngừng kinh doanh"
 2. Nhập đủ trường khác
 3. Click Lưu</t>
  </si>
  <si>
    <t>3. Lưu thành công, gói trạng thái Nháp, Sale_status = PENDING</t>
  </si>
  <si>
    <t>Kiểm tra trường Thời gian bắt đầu</t>
  </si>
  <si>
    <t>ĐK: Bật/tắt trạng thái = Tự động
 1. Kiểm tra Thời gian bắt đầu</t>
  </si>
  <si>
    <t>1. Mặc định ngày hiện tại</t>
  </si>
  <si>
    <t>Kiểm tra định dạng hiển thị</t>
  </si>
  <si>
    <t>ĐK: Tự động
 1. Chọn thời gian bắt đầu từ date picker</t>
  </si>
  <si>
    <t>1. Hiển thị định dạng DD/MM/YYYY HH:mm:ss</t>
  </si>
  <si>
    <t>Kiểm tra để trống khi Tự động</t>
  </si>
  <si>
    <t>ĐK: Tự động
 1. Xoá Thời gian bắt đầu
 2. Click Lưu</t>
  </si>
  <si>
    <t>Kiểm tra thời gian bắt đầu nhỏ hơn hiện tại</t>
  </si>
  <si>
    <t>ĐK: Tự động
 1. Chọn thời gian bắt đầu = hiện tại - 1 phút
 2. Click Lưu</t>
  </si>
  <si>
    <t>2. Không cho phép lưu / không cho chọn thời điểm quá khứ</t>
  </si>
  <si>
    <t>Kiểm tra thời gian bắt đầu bằng hiện tại</t>
  </si>
  <si>
    <t>ĐK: Tự động
 1. Chọn thời gian bắt đầu = thời điểm hiện tại
 2. Click Lưu</t>
  </si>
  <si>
    <t>2. Không cho phép lưu (yêu cầu &gt; hiện tại)</t>
  </si>
  <si>
    <t>Kiểm tra thời gian bắt đầu lớn hơn hiện tại</t>
  </si>
  <si>
    <t>ĐK: Tự động
 1. Chọn thời gian bắt đầu = hiện tại + 1 phút, kết thúc hợp lệ
 2. Click Lưu</t>
  </si>
  <si>
    <t>2. Lưu thành công</t>
  </si>
  <si>
    <t>Kiểm tra trường Thời gian kết thúc</t>
  </si>
  <si>
    <t>ĐK: Tự động
 1. Kiểm tra Thời gian kết thúc</t>
  </si>
  <si>
    <t>1. Mặc định rỗng</t>
  </si>
  <si>
    <t>ĐK: Tự động
 1. Để trống Thời gian kết thúc
 2. Click Lưu</t>
  </si>
  <si>
    <t>Kiểm tra thời gian kết thúc nhỏ hơn thời gian bắt đầu</t>
  </si>
  <si>
    <t>ĐK: Tự động, bắt đầu 01/10/2026 08:00:00
 1. Chọn kết thúc 01/10/2026 07:59:59
 2. Click Lưu</t>
  </si>
  <si>
    <t>2. Không cho phép lưu, báo lỗi thời gian kết thúc phải &gt; thời gian bắt đầu</t>
  </si>
  <si>
    <t>Kiểm tra thời gian kết thúc bằng thời gian bắt đầu</t>
  </si>
  <si>
    <t>ĐK: Tự động, bắt đầu 01/10/2026 08:00:00
 1. Chọn kết thúc 01/10/2026 08:00:00
 2. Click Lưu</t>
  </si>
  <si>
    <t>2. Không cho phép lưu</t>
  </si>
  <si>
    <t>Kiểm tra thời gian kết thúc lớn hơn thời gian bắt đầu 1 giây</t>
  </si>
  <si>
    <t>ĐK: Tự động, bắt đầu 01/10/2026 08:00:00
 1. Chọn kết thúc 01/10/2026 08:00:01
 2. Click Lưu</t>
  </si>
  <si>
    <t>Kiểm tra nhập tay sai định dạng ngày</t>
  </si>
  <si>
    <t>ĐK: Tự động
 1. Nhập tay "31/02/2026" hoặc "abc"</t>
  </si>
  <si>
    <t>1. Không nhận giá trị không hợp lệ, báo lỗi định dạng</t>
  </si>
  <si>
    <t>Kiểm tra trường Số lượng đăng ký giới hạn</t>
  </si>
  <si>
    <t>1. Để trống
 2. Nhập đủ trường khác
 3. Click Lưu</t>
  </si>
  <si>
    <t>3. Lưu thành công, max_purchase_quantity = null (không giới hạn)</t>
  </si>
  <si>
    <t>2. Lưu thành công, hiểu là không giới hạn</t>
  </si>
  <si>
    <t>1. Nhập 1
 2. Click Lưu</t>
  </si>
  <si>
    <t>2. Lưu thành công, mỗi user chỉ đăng ký được 1 lần</t>
  </si>
  <si>
    <t>Kiểm tra nhập số âm, thập phân, chữ</t>
  </si>
  <si>
    <t>1. Lần lượt nhập -1, 1.5, "abc"</t>
  </si>
  <si>
    <t>Kiểm tra trường Loại gói cước</t>
  </si>
  <si>
    <t>Kiểm tra tự gán khi vào từ dòng cha</t>
  </si>
  <si>
    <t>1. Tại danh sách, mở rộng loại gói "Plus OA Business"
 2. Click "+ Thêm gói cước"</t>
  </si>
  <si>
    <t>2. Trường Loại gói cước hiển thị "Plus OA Business"</t>
  </si>
  <si>
    <t xml:space="preserve"> </t>
  </si>
  <si>
    <t>Kiểm tra để trống khi vào từ button Thêm gói cước chung</t>
  </si>
  <si>
    <t>1. Click button "Thêm gói cước" góc phải trên màn danh sách
 2. Kiểm tra Loại gói cước</t>
  </si>
  <si>
    <t>2. 
 - Trường Loại gói cước rỗng
 - Khối Danh sách tính năng chưa hiển thị tính năng</t>
  </si>
  <si>
    <t>Kiểm tra danh sách loại gói có thể chọn</t>
  </si>
  <si>
    <t>ĐK: Vào từ button Thêm gói cước chung
 1. Click trường Loại gói cước</t>
  </si>
  <si>
    <t>1. Hiển thị danh sách loại gói cước trạng thái Đang hoạt động, không có loại gói Đã xoá</t>
  </si>
  <si>
    <t>Kiểm tra để trống loại gói khi lưu</t>
  </si>
  <si>
    <t>ĐK: Vào từ button Thêm gói cước chung
 1. Không chọn Loại gói cước
 2. Click Lưu</t>
  </si>
  <si>
    <t>2. Hiển thị lỗi bắt buộc "Vui lòng nhập thông tin", không lưu</t>
  </si>
  <si>
    <t>Kiểm tra đổi loại gói cước</t>
  </si>
  <si>
    <t>1. Chọn loại gói A
 2. Đổi sang loại gói B</t>
  </si>
  <si>
    <t>2. Danh sách tính năng thay đổi theo loại gói B, tham số đã nhập của loại gói A bị xoá</t>
  </si>
  <si>
    <t>Mục QL gói cước - UC2 tạo mới gói cước STT 13 - Cần BA confirm</t>
  </si>
  <si>
    <t>Kiểm tra sửa Loại gói cước khi vào từ dòng cha</t>
  </si>
  <si>
    <t>ĐK: Vào từ "+ Thêm gói cước" dòng cha
 1. Click trường Loại gói cước</t>
  </si>
  <si>
    <t>1. Trường hiển thị read-only (nền xám) theo design, không đổi được</t>
  </si>
  <si>
    <t>Mục QL gói cước - UC2 tạo mới gói cước STT 13 - Design nền xám - Cần BA confirm</t>
  </si>
  <si>
    <t>Kiểm tra Danh sách tính năng</t>
  </si>
  <si>
    <t>Kiểm tra các cột danh sách tính năng</t>
  </si>
  <si>
    <t>1. Kiểm tra bảng Danh sách tính năng</t>
  </si>
  <si>
    <t>1. Hiển thị các cột: STT, Mã tính năng, Tên tính năng, Nhóm tính năng, Tham số, Đánh dấu hiển thị, Mô tả</t>
  </si>
  <si>
    <t>Kiểm tra danh sách tính năng theo loại gói</t>
  </si>
  <si>
    <t>1. Đối chiếu danh sách tính năng với cấu hình loại gói tại Quản lý loại gói cước</t>
  </si>
  <si>
    <t>1. Hiển thị đủ tất cả tính năng thuộc loại gói, sắp xếp tăng dần theo STT hiển thị</t>
  </si>
  <si>
    <t>Kiểm tra các trường thông tin tính năng read-only</t>
  </si>
  <si>
    <t>1. Click vào Mã tính năng, Nhóm tính năng, Tên tính năng, Mô tả</t>
  </si>
  <si>
    <t>1. Không cho phép chỉnh sửa</t>
  </si>
  <si>
    <t>Kiểm tra hiển thị Đánh dấu hiển thị</t>
  </si>
  <si>
    <t>1. Kiểm tra Đánh dấu hiển thị</t>
  </si>
  <si>
    <t>1. Hiển thị Đánh dấu hiển thị dạng Checkbox</t>
  </si>
  <si>
    <t>SRS không mô tả nhưng design có</t>
  </si>
  <si>
    <t>1. Kiểm tra Mô tả tính năng có nội dung dài</t>
  </si>
  <si>
    <t>1. Hiển thị full mô tả,dài quá thị hiển thị .... tooltip</t>
  </si>
  <si>
    <t>Kiểm tra cuộn ngang khi tính năng có nhiều tham số</t>
  </si>
  <si>
    <t>1. Cuộn ngang bảng tính năng</t>
  </si>
  <si>
    <t>1. Hiển thị đủ các ô tham số, không vỡ layout</t>
  </si>
  <si>
    <t>Kiểm tra trường Tham số</t>
  </si>
  <si>
    <t>Kiểm tra label ô tham số</t>
  </si>
  <si>
    <t>1. Kiểm tra label các ô tham số</t>
  </si>
  <si>
    <t>1. Label = Tên tham số + Đơn vị tính, VD "Số cộng đồng (ĐVT: Cộng đồng) *"</t>
  </si>
  <si>
    <t>Kiểm tra thứ tự tham số trong 1 tính năng</t>
  </si>
  <si>
    <t>ĐK: Tính năng có nhiều tham số
 1. Kiểm tra thứ tự</t>
  </si>
  <si>
    <t>1. Tham số sắp xếp theo tên A-Z</t>
  </si>
  <si>
    <t>Kiểm tra để trống tham số</t>
  </si>
  <si>
    <t>1. Để trống 1 ô tham số
 2. Click Lưu</t>
  </si>
  <si>
    <t>2. Hiển thị lỗi inline: "Vui lòng nhập thông tin" tại ô trống, không lưu</t>
  </si>
  <si>
    <t>Kiểm tra tham số loại Tiêu hao / Giới hạn đồng thời / Mã đối tác</t>
  </si>
  <si>
    <t>1. Nhập giá trị hợp lệ theo rule tham số
 2. Click Lưu</t>
  </si>
  <si>
    <t>2. Lưu thành công, quota_value lưu đúng giá trị</t>
  </si>
  <si>
    <t>Kiểm tra tham số loại On/off</t>
  </si>
  <si>
    <t>1. Chọn giá trị Có/Không cho tham số on/off
 2. Click Lưu</t>
  </si>
  <si>
    <t>2. Lưu thành công, quota_value = CÓ/KHÔNG</t>
  </si>
  <si>
    <t>Kiểm tra nhập tham số không hợp lệ</t>
  </si>
  <si>
    <t>1. Nhập chữ, số âm, số vượt DECIMAL(12,2) vào ô tham số</t>
  </si>
  <si>
    <t>1. Chặn không cho nhập / báo lỗi theo rule tham số</t>
  </si>
  <si>
    <t>Kiểm tra chức năng</t>
  </si>
  <si>
    <t>Lưu gói cước</t>
  </si>
  <si>
    <t>Kiểm tra tạo mới gói cước thành công với dữ liệu hợp lệ</t>
  </si>
  <si>
    <t>1. Nhập đủ các trường bắt buộc hợp lệ
 2. Nhập đủ tham số tính năng
 3. Click Lưu</t>
  </si>
  <si>
    <t>3. 
 - Hiển thị popup: icon thành công, tiêu đề "Thêm mới gói cước thành công", nội dung "Bạn đã thêm mới gói cước [Mã gói cước vừa tạo]", button Đóng, icon X
 - Gói cước được lưu vào CSDL</t>
  </si>
  <si>
    <t>Kiểm tra trạng thái gói sau khi tạo</t>
  </si>
  <si>
    <t>1. Tạo gói thành công
 2. Kiểm tra gói trên danh sách</t>
  </si>
  <si>
    <t>2. Gói cước có trạng thái Nháp (DRAFT)</t>
  </si>
  <si>
    <t>Kiểm tra dữ liệu gói cước lưu vào CSDL</t>
  </si>
  <si>
    <t>1. Tạo gói thành công
 2. Kiểm tra bản ghi plan trong DB</t>
  </si>
  <si>
    <t>2. Lưu đúng: plan_type_id, plan_code, description, billing_cycle_value/unit, original_price, currency = VND, plan_role, marketing_tag, distribution_channels, activation_mode, start_time/end_time hoặc Sale_status, is_renew = FALSE, status = DRAFT, created_by/at, updated_by/at</t>
  </si>
  <si>
    <t>Kiểm tra dữ liệu quyền lợi (tính năng + tham số) lưu vào CSDL</t>
  </si>
  <si>
    <t>1. Tạo gói thành công
 2. Kiểm tra bảng quyền lợi</t>
  </si>
  <si>
    <t>2. Mỗi tham số sinh 1 bản ghi: plan_id, feature_id, parameter_id, quota_value đúng giá trị đã nhập</t>
  </si>
  <si>
    <t>Kiểm tra lưu thiếu nhiều trường bắt buộc</t>
  </si>
  <si>
    <t>1. Để trống tất cả trường
 2. Click Lưu</t>
  </si>
  <si>
    <t>2. Hiển thị lỗi inline tại tất cả trường bắt buộc cùng lúc, focus về trường lỗi đầu tiên</t>
  </si>
  <si>
    <t>Kiểm tra click button Lưu liên tục</t>
  </si>
  <si>
    <t>1. Nhập dữ liệu hợp lệ
 2. Click Lưu liên tục nhiều lần</t>
  </si>
  <si>
    <t>2. Chỉ tạo 1 gói cước, không tạo bản ghi trùng</t>
  </si>
  <si>
    <t>Kiểm tra gói mới hiển thị trên danh sách</t>
  </si>
  <si>
    <t>1. Tạo gói thành công
 2. Quay lại danh sách, mở rộng loại gói tương ứng</t>
  </si>
  <si>
    <t>2. 
 - Gói mới hiển thị trong bảng con đúng loại gói, đúng vị trí theo chu kỳ
 - Badge số lượng tăng 1
 - Người cập nhật = Admin tạo</t>
  </si>
  <si>
    <t>Kiểm tra lưu vết audit</t>
  </si>
  <si>
    <t>1. Tạo gói thành công
 2. Kiểm tra log kiểm toán</t>
  </si>
  <si>
    <t>2. Ghi log: người tạo, thời gian, IP, giá trị mới</t>
  </si>
  <si>
    <t>Popup thông báo thành công</t>
  </si>
  <si>
    <t>Kiểm tra click button Đóng</t>
  </si>
  <si>
    <t>1. Tạo gói thành công
 2. Click Đóng</t>
  </si>
  <si>
    <t>2. Đóng popup, chuyển hướng về màn hình Danh sách gói cước</t>
  </si>
  <si>
    <t xml:space="preserve">Mục QL gói cước - UC2 tạo mới gói cước Popup STT 3 - Basic flow B7 ghi điều hướng về màn Chi tiết gói cước, mâu thuẫn </t>
  </si>
  <si>
    <t>Kiểm tra click icon X</t>
  </si>
  <si>
    <t>1. Tạo gói thành công
 2. Click icon X góc trên</t>
  </si>
  <si>
    <t>2. Tương tự button Đóng</t>
  </si>
  <si>
    <t>Button Back</t>
  </si>
  <si>
    <t>Kiểm tra click Back khi đã nhập dữ liệu</t>
  </si>
  <si>
    <t>1. Nhập một số trường
 2. Click icon Back (←)</t>
  </si>
  <si>
    <t>2. Hiển thị popup xác nhận: tiêu đề "Huỷ tạo mới gói cước", nội dung "Các thông tin đã nhập sẽ không được lưu. Bạn có chắc chắn muốn thoát?", button Quay lại, Xác nhận</t>
  </si>
  <si>
    <t>Kiểm tra click Back khi chưa nhập dữ liệu</t>
  </si>
  <si>
    <t>1. Không nhập gì
 2. Click icon Back</t>
  </si>
  <si>
    <t>2. Hiển thị popup xác nhận huỷ (AF01 áp dụng tại bất kỳ bước nào)</t>
  </si>
  <si>
    <t>Kiểm tra click Xác nhận trên popup huỷ</t>
  </si>
  <si>
    <t>1. Nhập dữ liệu
 2. Click Back
 3. Click Xác nhận</t>
  </si>
  <si>
    <t>3. Đóng popup, quay về Danh sách gói cước, không lưu dữ liệu, không phát sinh bản ghi mới</t>
  </si>
  <si>
    <t>Kiểm tra click Quay lại trên popup huỷ</t>
  </si>
  <si>
    <t>1. Nhập dữ liệu
 2. Click Back
 3. Click Quay lại</t>
  </si>
  <si>
    <t>3. Đóng popup, ở lại form, dữ liệu đã nhập được giữ nguyên</t>
  </si>
  <si>
    <t>Lỗi mạng / hệ thống</t>
  </si>
  <si>
    <t>Kiểm tra lưu khi mất mạng</t>
  </si>
  <si>
    <t>1. Nhập dữ liệu hợp lệ
 2. Ngắt mạng
 3. Click Lưu</t>
  </si>
  <si>
    <t>3. Hiển thị toast "Thất bại. Vui lòng kiểm tra lại kết nối.", giữ dữ liệu trên form, cho phép thử lại</t>
  </si>
  <si>
    <t>Kiểm tra lưu khi API lỗi hệ thống</t>
  </si>
  <si>
    <t>ĐK: API tạo gói trả lỗi 500
 1. Click Lưu</t>
  </si>
  <si>
    <t>1. Hiển thị toast "Hệ thống bận. Vui lòng thử lại sau." kèm mã lỗi, cho phép thử lại</t>
  </si>
  <si>
    <t>Kiểm tra tranh chấp: 2 admin cùng tạo gói trùng mã</t>
  </si>
  <si>
    <t>ĐK: Admin A và B cùng mở form
 1. Cả 2 nhập mã "OAPLUS90" và đủ các trường hợp lệ
 2. Admin A click Lưu
 3. Admin B click Lưu</t>
  </si>
  <si>
    <t>2. Admin A tạo gói cước thành công
 3. Admin B nhận lỗi inline "Mã gói đã được sử dụng", không tạo gói</t>
  </si>
  <si>
    <t>Kiểm tra tranh chấp: loại gói bị xoá khi đang tạo gói</t>
  </si>
  <si>
    <t>ĐK: Đang mở form tạo gói thuộc loại gói A
 1. Admin khác xoá loại gói A
 2. Click Lưu</t>
  </si>
  <si>
    <t>2. Không cho phép lưu, hiển thị thông báo lỗi</t>
  </si>
  <si>
    <t>UC3: (CMS admin) Chức năng Xem chi tiết gói cước</t>
  </si>
  <si>
    <t>Pre-condition: 
 Bước 1: Admin đăng nhập thành công vào hệ thống CMS
 Bước 2: Click menu Quản lý gói cước &gt; mở rộng 1 loại gói cước
 Bước 3: Click icon (i) tại cột Thao tác của 1 gói cước</t>
  </si>
  <si>
    <t>1. Kiểm tra hiển thị màn Chi tiết gói cước</t>
  </si>
  <si>
    <t>1. Hiển thị màn hình gồm:
 + Thanh tiêu đề: nút Quay lại, tiêu đề, trạng thái gói, các button thao tác
 + Khối Thông tin cơ bản
 + Khối Thuộc tính
 + Khối Danh sách tính năng theo loại gói</t>
  </si>
  <si>
    <t>1. Con trỏ di chuyển lần lượt qua các button thao tác theo thứ tự: Từ trái qua phải, từ trên xuống dưới; không dừng tại các trường read-only có thể nhập</t>
  </si>
  <si>
    <t>Thanh tiêu đề (Header)</t>
  </si>
  <si>
    <t>TC-06</t>
  </si>
  <si>
    <t>Nút Quay lại</t>
  </si>
  <si>
    <t>Kiểm tra hiển thị nút Quay lại</t>
  </si>
  <si>
    <t>1. Kiểm tra góc trái thanh tiêu đề</t>
  </si>
  <si>
    <t>1. Hiển thị icon mũi tên (←) viền tròn</t>
  </si>
  <si>
    <t>Kiểm tra click nút Quay lại</t>
  </si>
  <si>
    <t>1. Click nút Quay lại (←)</t>
  </si>
  <si>
    <t>1. Quay lại màn hình Quản lý gói cước</t>
  </si>
  <si>
    <t>Kiểm tra click Back của trình duyệt</t>
  </si>
  <si>
    <t>1. Click Back trên trình duyệt</t>
  </si>
  <si>
    <t>1. Kiểm tra tiêu đề</t>
  </si>
  <si>
    <t>1. Hiển thị tiêu đề: "Chi tiết gói cước"</t>
  </si>
  <si>
    <t>Trạng thái gói cước</t>
  </si>
  <si>
    <t>ĐK: Gói ở trạng thái Nháp
 1. Kiểm tra trạng thái trên thanh tiêu đề</t>
  </si>
  <si>
    <t>1. Hiển thị trạng thái "Nháp"</t>
  </si>
  <si>
    <t>ĐK: Gói ở trạng thái Đã phát hành
 1. Kiểm tra trạng thái</t>
  </si>
  <si>
    <t>1. Hiển thị trạng thái "Đã phát hành"</t>
  </si>
  <si>
    <t>ĐK: Gói ở trạng thái Đang kinh doanh
 1. Kiểm tra trạng thái</t>
  </si>
  <si>
    <t>1. Hiển thị trạng thái "Đang kinh doanh"</t>
  </si>
  <si>
    <t>ĐK: Gói ở trạng thái Ngừng kinh doanh
 1. Kiểm tra trạng thái</t>
  </si>
  <si>
    <t>1. Hiển thị trạng thái "Ngừng kinh doanh"</t>
  </si>
  <si>
    <t>Kiểm tra trạng thái trên màn chi tiết khớp với danh sách</t>
  </si>
  <si>
    <t>1. Ghi nhận trạng thái gói tại danh sách
 2. Mở chi tiết gói đó</t>
  </si>
  <si>
    <t>2. Trạng thái trên màn chi tiết giống cột Trạng thái tại danh sách</t>
  </si>
  <si>
    <t>Button Chỉnh sửa</t>
  </si>
  <si>
    <t>Kiểm tra hiển thị button Chỉnh sửa ở mọi trạng thái</t>
  </si>
  <si>
    <t>ĐK: Lần lượt mở gói Nháp / Đã phát hành / Đang kinh doanh / Ngừng kinh doanh
 1. Kiểm tra button Chỉnh sửa</t>
  </si>
  <si>
    <t>1. Button "Chỉnh sửa" nền đen bo góc, góc phải, enable ở cả 4 trạng thái</t>
  </si>
  <si>
    <t>Kiểm tra click button Chỉnh sửa</t>
  </si>
  <si>
    <t>1. Click button Chỉnh sửa</t>
  </si>
  <si>
    <t>1. Điều hướng sang màn Chỉnh sửa gói cước, hiển thị đúng dữ liệu của gói đang xem</t>
  </si>
  <si>
    <t>Button Xoá</t>
  </si>
  <si>
    <t>Kiểm tra hiển thị button Xoá</t>
  </si>
  <si>
    <t>ĐK: Lần lượt mở gói ở 4 trạng thái
 1. Kiểm tra button Xoá</t>
  </si>
  <si>
    <t>1. Button Xoá enable ở tất cả trạng thái</t>
  </si>
  <si>
    <t>Mục QL gói cước - UC xem chi tiết gói cước . Mâu thuẫn: mô tả màn chi tiết ghi "Enable tại tất cả trạng thái" nhưng bảng Trạng thái gói cước ghi Đang kinh doanh tuyệt đối không được xoá - Cần BA confirm</t>
  </si>
  <si>
    <t>Kiểm tra click button Xoá</t>
  </si>
  <si>
    <t>ĐK: Gói ở trạng thái Nháp
 1. Click button Xoá</t>
  </si>
  <si>
    <t>1. Hiển thị popup xác nhận xoá theo UC Xoá gói cước</t>
  </si>
  <si>
    <t>Mục QL gói cước - UC xem chi tiết gói cước - UC xoá chưa mô tả chi tiết, Cần BA confirm</t>
  </si>
  <si>
    <t>Kiểm tra xoá gói Đang kinh doanh</t>
  </si>
  <si>
    <t>ĐK: Gói ở trạng thái Đang kinh doanh
 1. Click button Xoá
 2. Xác nhận xoá</t>
  </si>
  <si>
    <t>2. Hệ thống chặn không cho xoá, gói giữ nguyên trạng thái Đang kinh doanh</t>
  </si>
  <si>
    <t>Button Phát hành</t>
  </si>
  <si>
    <t>Kiểm tra hiển thị button Phát hành khi gói ở trạng thái Nháp</t>
  </si>
  <si>
    <t>ĐK: Gói ở trạng thái Nháp
 1. Kiểm tra thanh tiêu đề</t>
  </si>
  <si>
    <t>1. Hiển thị button "Phát hành", trạng thái enable</t>
  </si>
  <si>
    <t>Kiểm tra ẩn button Phát hành khi gói ở trạng thái Đã phát hành</t>
  </si>
  <si>
    <t>ĐK: Gói ở trạng thái Đã phát hành
 1. Kiểm tra thanh tiêu đề</t>
  </si>
  <si>
    <t>1. Không hiển thị button Phát hành</t>
  </si>
  <si>
    <t>Kiểm tra ẩn button Phát hành khi gói ở trạng thái Đang kinh doanh</t>
  </si>
  <si>
    <t>ĐK: Gói ở trạng thái Đang kinh doanh
 1. Kiểm tra thanh tiêu đề</t>
  </si>
  <si>
    <t>Kiểm tra ẩn button Phát hành khi gói ở trạng thái Ngừng kinh doanh</t>
  </si>
  <si>
    <t>ĐK: Gói ở trạng thái Ngừng kinh doanh
 1. Kiểm tra thanh tiêu đề</t>
  </si>
  <si>
    <t>Kiểm tra click button Phát hành</t>
  </si>
  <si>
    <t>ĐK: Gói ở trạng thái Nháp
 1. Click button Phát hành</t>
  </si>
  <si>
    <t>1. Hiển thị popup xác nhận phát hành theo UC Ban hành gói cước</t>
  </si>
  <si>
    <t>Khối Thông tin cơ bản</t>
  </si>
  <si>
    <t>Chế độ chỉ đọc</t>
  </si>
  <si>
    <t>Kiểm tra toàn bộ trường ở chế độ chỉ đọc</t>
  </si>
  <si>
    <t>1. Lần lượt click và thử nhập vào tất cả các trường trên màn chi tiết</t>
  </si>
  <si>
    <t>1. 
 - Tất cả trường nền xám nhạt, disabled
 - Không cho phép nhập, chọn, thêm hoặc xoá dữ liệu</t>
  </si>
  <si>
    <t>Kiểm tra không thay đổi dữ liệu khi xem chi tiết</t>
  </si>
  <si>
    <t>1. Ghi nhận updated_at, updated_by của gói trong DB
 2. Mở màn chi tiết, thao tác cuộn/click các trường
 3. Kiểm tra lại DB</t>
  </si>
  <si>
    <t>3. Không có bản ghi nào thay đổi (updated_at, updated_by giữ nguyên)</t>
  </si>
  <si>
    <t>Mã gói cước</t>
  </si>
  <si>
    <t>Kiểm tra hiển thị Mã gói cước</t>
  </si>
  <si>
    <t>1. Kiểm tra trường Mã gói cước</t>
  </si>
  <si>
    <t>1. Label "Mã gói cước *", giá trị text in hoa đúng mã đã tạo</t>
  </si>
  <si>
    <t>Tag</t>
  </si>
  <si>
    <t>Kiểm tra hiển thị Tag có dữ liệu</t>
  </si>
  <si>
    <t>ĐK: Gói có Tag "tammi"
 1. Kiểm tra trường Tag</t>
  </si>
  <si>
    <t>1. Hiển thị "tammi"</t>
  </si>
  <si>
    <t>Kiểm tra hiển thị Tag không có dữ liệu</t>
  </si>
  <si>
    <t>ĐK: Gói tạo không nhập Tag
 1. Kiểm tra trường Tag</t>
  </si>
  <si>
    <t>1. Trường Tag hiển thị rỗng, không lỗi layout</t>
  </si>
  <si>
    <t>Mô tả</t>
  </si>
  <si>
    <t>Kiểm tra hiển thị Mô tả</t>
  </si>
  <si>
    <t>1. Kiểm tra trường Mô tả</t>
  </si>
  <si>
    <t>1. Hiển thị đúng nội dung mô tả đã nhập, giữ định dạng gạch đầu dòng</t>
  </si>
  <si>
    <t>Kiểm tra hiển thị Mô tả dài 500 ký tự</t>
  </si>
  <si>
    <t>ĐK: Gói có mô tả 500 ký tự
 1. Kiểm tra trường Mô tả</t>
  </si>
  <si>
    <t>1. Hiển thị đủ 500 ký tự (có thanh cuộn nếu vượt khung), không vỡ layout</t>
  </si>
  <si>
    <t>Chu kỳ &amp; Đơn vị</t>
  </si>
  <si>
    <t>Kiểm tra hiển thị Chu kỳ và Đơn vị</t>
  </si>
  <si>
    <t>1. Kiểm tra trường Chu kỳ, Đơn vị</t>
  </si>
  <si>
    <t>1. Hiển thị đúng giá trị và đơn vị đã lưu khi tạo</t>
  </si>
  <si>
    <t>Kiểm tra Đơn vị hiển thị đúng đơn vị đã chọn, không quy đổi</t>
  </si>
  <si>
    <t>ĐK: Có gói 2 Tuần, 12 Tháng, 1 Năm
 1. Lần lượt mở chi tiết</t>
  </si>
  <si>
    <t>1. Hiển thị đúng: 2 - Tuần, 12 - Tháng, 1 - Năm</t>
  </si>
  <si>
    <t>Giá gốc</t>
  </si>
  <si>
    <t>Kiểm tra hiển thị Giá gốc</t>
  </si>
  <si>
    <t>1. Kiểm tra trường Giá gốc</t>
  </si>
  <si>
    <t>1. Hiển thị số tiền có dấu chấm phân cách hàng nghìn</t>
  </si>
  <si>
    <t>ĐK: Gói có giá 9.999.999.999.999
 1. Kiểm tra Giá gốc</t>
  </si>
  <si>
    <t>1. Hiển thị đủ "9.999.999.999.999", không vỡ layout</t>
  </si>
  <si>
    <t>Đơn vị tính</t>
  </si>
  <si>
    <t>Kiểm tra hiển thị Đơn vị tính</t>
  </si>
  <si>
    <t>1. Kiểm tra trường Đơn vị tính</t>
  </si>
  <si>
    <t>1. Hiển thị "VNĐ"</t>
  </si>
  <si>
    <t>Người cập nhật</t>
  </si>
  <si>
    <t>Kiểm tra hiển thị Người cập nhật</t>
  </si>
  <si>
    <t>1. Kiểm tra trường Người cập nhật</t>
  </si>
  <si>
    <t>1. Hiển thị họ tên Admin cập nhật gói gần nhất</t>
  </si>
  <si>
    <t>Thời gian cập nhật</t>
  </si>
  <si>
    <t>Kiểm tra hiển thị Thời gian cập nhật</t>
  </si>
  <si>
    <t>1. Kiểm tra trường Thời gian cập nhật</t>
  </si>
  <si>
    <t>1. Hiển thị thời gian cập nhật gần nhất, định dạng DD/MM/YYYY HH:mm:ss</t>
  </si>
  <si>
    <t>Kiểm tra Người/Thời gian cập nhật sau khi phát hành</t>
  </si>
  <si>
    <t>1. Admin B phát hành gói Nháp
 2. Kiểm tra màn chi tiết</t>
  </si>
  <si>
    <t>2. Người cập nhật = Admin B, Thời gian cập nhật = thời điểm phát hành</t>
  </si>
  <si>
    <t>Khối Thuộc tính</t>
  </si>
  <si>
    <t>Loại hình gói</t>
  </si>
  <si>
    <t>Kiểm tra hiển thị Loại hình gói = Gói chính</t>
  </si>
  <si>
    <t>ĐK: Gói là Gói chính
 1. Kiểm tra Loại hình gói</t>
  </si>
  <si>
    <t>1. Radio "Gói chính" được chọn, "Gói add-on" không chọn, cả 2 disabled</t>
  </si>
  <si>
    <t>Kiểm tra hiển thị Loại hình gói = Gói add-on</t>
  </si>
  <si>
    <t>ĐK: Gói là Gói add-on
 1. Kiểm tra Loại hình gói</t>
  </si>
  <si>
    <t>1. Radio "Gói add-on" được chọn, disabled</t>
  </si>
  <si>
    <t>Kênh bán</t>
  </si>
  <si>
    <t>Kiểm tra hiển thị Kênh bán 1 kênh</t>
  </si>
  <si>
    <t>ĐK: Gói chỉ có kênh Web OA
 1. Kiểm tra Kênh bán</t>
  </si>
  <si>
    <t>1. Checkbox "Web OA" được tích, "Miniapp gói cước TAMMI" không tích, disabled</t>
  </si>
  <si>
    <t>Kiểm tra hiển thị Kênh bán 2 kênh</t>
  </si>
  <si>
    <t>ĐK: Gói có cả 2 kênh
 1. Kiểm tra Kênh bán</t>
  </si>
  <si>
    <t>1. Cả 2 checkbox được tích, disabled</t>
  </si>
  <si>
    <t>Bật/tắt trạng thái</t>
  </si>
  <si>
    <t>Kiểm tra hiển thị khi Bật/tắt trạng thái = Tự động</t>
  </si>
  <si>
    <t>ĐK: Gói có Bật/tắt trạng thái = Tự động
 1. Kiểm tra khối Thuộc tính</t>
  </si>
  <si>
    <t>1. 
 - "Tự động" được chọn, disabled
 - Hiển thị Thời gian bắt đầu, Thời gian kết thúc
 - Không hiển thị Trạng thái kinh doanh</t>
  </si>
  <si>
    <t>Kiểm tra hiển thị khi Bật/tắt trạng thái = Thủ công</t>
  </si>
  <si>
    <t>ĐK: Gói có Bật/tắt trạng thái = Thủ công
 1. Kiểm tra khối Thuộc tính</t>
  </si>
  <si>
    <t>1. 
 - "Thủ công" được chọn, disabled
 - Hiển thị Trạng thái kinh doanh
 - Không hiển thị Thời gian bắt đầu, kết thúc</t>
  </si>
  <si>
    <t>Thời gian bắt đầu / kết thúc</t>
  </si>
  <si>
    <t>Kiểm tra định dạng Thời gian bắt đầu, kết thúc</t>
  </si>
  <si>
    <t>ĐK: Tự động
 1. Kiểm tra Thời gian bắt đầu, kết thúc</t>
  </si>
  <si>
    <t>1. Hiển thị đúng thời gian đã lưu, định dạng DD/MM/YYYY hh:mm:ss, disable</t>
  </si>
  <si>
    <t>Trạng thái kinh doanh</t>
  </si>
  <si>
    <t>Kiểm tra hiển thị Trạng thái kinh doanh</t>
  </si>
  <si>
    <t>ĐK: Thủ công, lần lượt gói có Trạng thái kinh doanh = Đang kinh doanh / Ngừng kinh doanh
 1. Kiểm tra trường</t>
  </si>
  <si>
    <t>1. Hiển thị đúng giá trị đã lưu: "Đang kinh doanh" / "Ngừng kinh doanh", disable</t>
  </si>
  <si>
    <t>Số lượng đăng ký giới hạn</t>
  </si>
  <si>
    <t>Kiểm tra hiển thị Số lượng đăng ký giới hạn có giá trị</t>
  </si>
  <si>
    <t>ĐK: Gói có giới hạn 1
 1. Kiểm tra trường</t>
  </si>
  <si>
    <t>1. Hiển thị "1", disable</t>
  </si>
  <si>
    <t>Kiểm tra hiển thị Số lượng đăng ký giới hạn khi không giới hạn</t>
  </si>
  <si>
    <t>ĐK: Gói có giới hạn = null hoặc 0
 1. Kiểm tra trường</t>
  </si>
  <si>
    <t>1. Hiển thị rỗng / "0" theo quy ước không giới hạn, disable</t>
  </si>
  <si>
    <t>Khối Danh sách tính năng theo loại gói</t>
  </si>
  <si>
    <t>Kiểm tra hiển thị Loại gói cước</t>
  </si>
  <si>
    <t>1. Kiểm tra trường Loại gói cước</t>
  </si>
  <si>
    <t>1. Hiển thị tên loại gói cước cha, nền xám nhạt</t>
  </si>
  <si>
    <t>Bảng tính năng</t>
  </si>
  <si>
    <t>Kiểm tra các cột bảng tính năng</t>
  </si>
  <si>
    <t>1. Kiểm tra header bảng</t>
  </si>
  <si>
    <t>1. Hiển thị các cột: STT, Mã tính năng, Tên tính năng, Nhóm tính năng, Tham số, Mô tả, Đánh dấu hiển thị</t>
  </si>
  <si>
    <t>Kiểm tra danh sách tính năng khớp cấu hình loại gói</t>
  </si>
  <si>
    <t>1. Hiển thị đủ tính năng thuộc loại gói, không thừa, không thiếu</t>
  </si>
  <si>
    <t>Cột STT</t>
  </si>
  <si>
    <t>Kiểm tra cột STT</t>
  </si>
  <si>
    <t>1. Kiểm tra cột STT</t>
  </si>
  <si>
    <t>1. Số thứ tự tăng dần 1, 2, 3..., căn giữa</t>
  </si>
  <si>
    <t>Cột Mã tính năng</t>
  </si>
  <si>
    <t>Kiểm tra cột Mã tính năng</t>
  </si>
  <si>
    <t>1. Kiểm tra cột Mã tính năng</t>
  </si>
  <si>
    <t>1. Hiển thị mã tính năng, căn trái</t>
  </si>
  <si>
    <t>Cột Tên tính năng</t>
  </si>
  <si>
    <t>Kiểm tra hiển thị cột Tên tính năng</t>
  </si>
  <si>
    <t>1. Kiểm tra cột Tên tính năng</t>
  </si>
  <si>
    <t>1. Text màu xanh lam dạng hyperlink, căn trái</t>
  </si>
  <si>
    <t>Kiểm tra click Tên tính năng</t>
  </si>
  <si>
    <t>1. Click vào Tên tính năng</t>
  </si>
  <si>
    <t>1. Điều hướng đến màn Chi tiết tính năng tương ứng</t>
  </si>
  <si>
    <t>Mục QL gói cước - UC xem chi tiết gói cước STT 19 - SRS chưa nêu đích của link, Cần BA confirm</t>
  </si>
  <si>
    <t>Cột Nhóm tính năng</t>
  </si>
  <si>
    <t>Kiểm tra cột Nhóm tính năng</t>
  </si>
  <si>
    <t>1. Kiểm tra cột Nhóm tính năng</t>
  </si>
  <si>
    <t>1. Hiển thị tên nhóm tính năng</t>
  </si>
  <si>
    <t>Cột Tham số</t>
  </si>
  <si>
    <t>Kiểm tra hiển thị tham số</t>
  </si>
  <si>
    <t>1. Kiểm tra cột Tham số</t>
  </si>
  <si>
    <t>1. Mỗi tham số là 1 ô con: Tên tham số + (ĐVT: đơn vị) + giá trị bên dưới, read-only</t>
  </si>
  <si>
    <t>Kiểm tra giá trị tham số khớp dữ liệu đã lưu</t>
  </si>
  <si>
    <t>1. Đối chiếu giá trị tham số với bảng quyền lợi (quota_value) trong DB</t>
  </si>
  <si>
    <t>1. Giá trị hiển thị khớp DB</t>
  </si>
  <si>
    <t>ĐK: Tính năng có tham số On/off
 1. Kiểm tra ô tham số</t>
  </si>
  <si>
    <t>1. Hiển thị giá trị Có/Không đúng dữ liệu đã lưu</t>
  </si>
  <si>
    <t>Kiểm tra tính năng có nhiều tham số</t>
  </si>
  <si>
    <t>ĐK: Tính năng có ≥ 3 tham số
 1. Kiểm tra dòng tính năng, cuộn ngang</t>
  </si>
  <si>
    <t>Cột Mô tả</t>
  </si>
  <si>
    <t>Kiểm tra mô tả ngắn ≤ 2 hàng</t>
  </si>
  <si>
    <t>ĐK: Mô tả tính năng hiển thị trong 2 hàng
 1. Kiểm tra cột Mô tả</t>
  </si>
  <si>
    <t>1. Hiển thị đầy đủ, không có "…"</t>
  </si>
  <si>
    <t>Kiểm tra mô tả dài hơn 2 hàng</t>
  </si>
  <si>
    <t>ĐK: Mô tả tính năng dài hơn 2 hàng
 1. Kiểm tra cột Mô tả</t>
  </si>
  <si>
    <t>1. Hiển thị tối đa 2 hàng, phần còn lại thay bằng "…"</t>
  </si>
  <si>
    <t>Kiểm tra tooltip khi hover mô tả</t>
  </si>
  <si>
    <t>ĐK: Mô tả dài hơn 2 hàng
 1. Hover vào ô Mô tả</t>
  </si>
  <si>
    <t>1. Hiển thị tooltip chứa toàn bộ mô tả</t>
  </si>
  <si>
    <t>Đánh dấu hiển thị</t>
  </si>
  <si>
    <t>Kiểm tra tính năng được đánh dấu hiển thị</t>
  </si>
  <si>
    <t>ĐK: Tính năng có cờ hiển thị = true
 1. Kiểm tra dòng tính năng</t>
  </si>
  <si>
    <t>1. Tickbox được tích, dòng tính năng hiển thị bình thường</t>
  </si>
  <si>
    <t>Kiểm tra tính năng không được đánh dấu hiển thị</t>
  </si>
  <si>
    <t>ĐK: Tính năng có cờ hiển thị = false
 1. Kiểm tra dòng tính năng</t>
  </si>
  <si>
    <t>1. Tickbox không tích, dòng tính năng hiển thị ở trạng thái disable</t>
  </si>
  <si>
    <t>Kiểm tra mở chi tiết khi mất mạng</t>
  </si>
  <si>
    <t>1. Ngắt mạng
 2. Click icon (i) tại 1 gói cước</t>
  </si>
  <si>
    <t>2. Hiển thị toast "Thất bại. Vui lòng kiểm tra lại kết nối." và cho phép thử lại</t>
  </si>
  <si>
    <t>Kiểm tra mở chi tiết khi API lỗi hệ thống</t>
  </si>
  <si>
    <t>ĐK: API chi tiết trả lỗi 500
 1. Click icon (i)</t>
  </si>
  <si>
    <t>Gói không tồn tại</t>
  </si>
  <si>
    <t>Kiểm tra mở chi tiết gói đã bị xoá</t>
  </si>
  <si>
    <t>ĐK: Đang ở danh sách, admin khác xoá gói A
 1. Click icon (i) của gói A (hoặc mở URL chi tiết của gói A)</t>
  </si>
  <si>
    <t>1. Không hiển thị dữ liệu gói, báo gói không tồn tại / quay về danh sách</t>
  </si>
  <si>
    <t>Kiểm tra toàn bộ dữ liệu khớp CSDL</t>
  </si>
  <si>
    <t>1. Mở chi tiết 1 gói
 2. Đối chiếu từng trường với bản ghi plan và bảng quyền lợi</t>
  </si>
  <si>
    <t>2. Toàn bộ dữ liệu khớp CSDL</t>
  </si>
  <si>
    <t>Kiểm tra truy cập URL chi tiết khi không có quyền</t>
  </si>
  <si>
    <t>ĐK: Tài khoản không có quyền phân hệ Gói cước
 1. Mở trực tiếp URL chi tiết gói</t>
  </si>
  <si>
    <t>1. Bị chặn truy cập</t>
  </si>
  <si>
    <t>UC4: (CMS admin) Chức năng Ban hành (Phát hành) gói cước</t>
  </si>
  <si>
    <t>Pre-condition: 
 Bước 1: Admin đăng nhập CMS, có quyền quản lý, phát hành gói cước
 Bước 2: Gói cước đang ở trạng thái Nháp, thông tin và tham số tính năng đã cấu hình hợp lệ
 Bước 3: Mở màn Chi tiết gói cước của gói đó</t>
  </si>
  <si>
    <t>Kiểm tra gui UI/UX popup</t>
  </si>
  <si>
    <t>Kiểm tra giao diện chung của popup phát hành</t>
  </si>
  <si>
    <t>1. Click button Phát hành
 2. Kiểm tra popup</t>
  </si>
  <si>
    <t>2. Hiển thị popup:
 + Icon cảnh báo (!)
 + Tiêu đề: "Phát hành gói cước?"
 + Icon X góc trên bên phải
 + Nội dung thông báo có {Mã gói} in đậm
 + Button phụ (viền) bên trái, button "Xác nhận" (nền đen) bên phải</t>
  </si>
  <si>
    <t>+ Bảng SRS ghi tiêu đề "Xác nhận phát hành gói cước", nội dung chứa [Tên gói + Mã gói], nút "Hủy"; design ghi "Phát hành gói cước?", chỉ {Mã gói}, 
+ Design là nút "Sửa ngày..."  SRS nút Hủy ==&gt; Mâu thuẫn chốt theo cài nào</t>
  </si>
  <si>
    <t>Kiểm tra tổng thể giao diện popup</t>
  </si>
  <si>
    <t>Kiểm tra popup là modal</t>
  </si>
  <si>
    <t>ĐK: Popup đang hiển thị
 1. Click vào vùng màn chi tiết phía sau popup</t>
  </si>
  <si>
    <t>1. Không thao tác được màn phía sau; popup không đóng</t>
  </si>
  <si>
    <t>Kiểm tra {Mã gói} trong nội dung popup là mã thật của gói</t>
  </si>
  <si>
    <t>ĐK: Gói có Mã gói cước = OAPLUS30
 1. Click Phát hành
 2. Kiểm tra nội dung popup</t>
  </si>
  <si>
    <t>2. Nội dung popup hiển thị đúng "OAPLUS30" in đậm tại vị trí {Mã gói}, không hiển thị nguyên chuỗi "{Mã gói}"</t>
  </si>
  <si>
    <t>Kiểm tra popup khi Mã gói dài tối đa 50 ký tự</t>
  </si>
  <si>
    <t>ĐK: Gói có Mã gói cước dài 50 ký tự
 1. Click Phát hành
 2. Kiểm tra hiển thị popup</t>
  </si>
  <si>
    <t>2. Mã gói hiển thị đủ 50 ký tự, tự xuống dòng trong popup, không tràn khung, không che button</t>
  </si>
  <si>
    <t>Kiểm tra lớp phủ nền và vị trí popup</t>
  </si>
  <si>
    <t>1. Click Phát hành
 2. Kiểm tra hiển thị</t>
  </si>
  <si>
    <t>2. 
 - Popup hiển thị giữa màn hình
 - Màn chi tiết phía sau bị phủ nền tối theo design</t>
  </si>
  <si>
    <t>Kiểm tra thứ tự di chuyển trỏ trong popup khi nhấn phím Tab</t>
  </si>
  <si>
    <t>1. Click Phát hành
 2. Nhấn Tab liên tục</t>
  </si>
  <si>
    <t>2. Con trỏ di chuyển lần lượt: icon X → button phụ ("Sửa ...") → "Xác nhận"; không nhảy ra màn phía sau popup</t>
  </si>
  <si>
    <t>[Bổ sung 30/09/2026] Theo TC chuẩn sheet mẫu (Tab / Shift-Tab). SRS chưa mô tả - Cần BA confirm</t>
  </si>
  <si>
    <t>Kiểm tra nhấn Enter khi con trỏ đang ở button Xác nhận</t>
  </si>
  <si>
    <t>1. Click Phát hành
 2. Tab tới button "Xác nhận"
 3. Nhấn Enter</t>
  </si>
  <si>
    <t>3. Thực hiện phát hành như khi click Xác nhận: đóng popup, toast "Phát hành gói cước thành công"</t>
  </si>
  <si>
    <t>[Bổ sung 30/09/2026] SRS chưa mô tả - Cần BA confirm</t>
  </si>
  <si>
    <t>Kiểm tra giao diện popup khi thu nhỏ, phóng to</t>
  </si>
  <si>
    <t>1. Click Phát hành
 2. Nhấn tổ hợp phím Ctrl -
 3. Nhấn tổ hợp phím Ctrl +</t>
  </si>
  <si>
    <t>2, 3. Popup thu nhỏ, phóng to tương ứng, không bị vỡ giao diện, không mất button</t>
  </si>
  <si>
    <t>[Bổ sung 30/09/2026] Theo TC chuẩn sheet mẫu</t>
  </si>
  <si>
    <t>Kiểm tra click button Phát hành liên tục</t>
  </si>
  <si>
    <t>1. Click button Phát hành 2 lần liên tiếp thật nhanh</t>
  </si>
  <si>
    <t>1. Chỉ mở 1 popup, không mở chồng 2 popup</t>
  </si>
  <si>
    <t>[Bổ sung 30/09/2026] Kỹ thuật: Chống thao tác trùng</t>
  </si>
  <si>
    <t>Thanh tiêu đề màn Chi tiết</t>
  </si>
  <si>
    <t>Kiểm tra cụm button trên thanh tiêu đề khi gói ở trạng thái Nháp</t>
  </si>
  <si>
    <t>1. Kiểm tra cụm button góc phải thanh tiêu đề</t>
  </si>
  <si>
    <t>1. Hiển thị lần lượt từ trái qua phải:
 + "Phát hành" (nền đen)
 + "Nhân bản gói" (viền)
 + "Chỉnh sửa" (viền)
 + "Xóa" (nền đỏ)</t>
  </si>
  <si>
    <t>[Bổ sung 30/09/2026] Figma section Chi tiết gói cước - frame trạng thái Nháp. SRS UC xem chi tiết chỉ mô tả Chỉnh sửa, Xoá, Phát hành, không có "Nhân bản gói" - Cần BA confirm</t>
  </si>
  <si>
    <t>Luồng Bật/tắt trạng thái = Tự động</t>
  </si>
  <si>
    <t>TH1.1: Hiện tại &lt; Thời gian bắt đầu</t>
  </si>
  <si>
    <t>Kiểm tra popup khi thời gian hiện tại &lt; thời gian bắt đầu</t>
  </si>
  <si>
    <t>ĐK: Tự động, bắt đầu = hiện tại + 1 ngày, kết thúc = hiện tại + 30 ngày
 1. Click Phát hành</t>
  </si>
  <si>
    <t>1. Hiển thị popup:
 + Icon cảnh báo (!)
 + Tiêu đề: "Phát hành gói cước?"
 + Icon X góc trên bên phải
 + Nội dung: "Gói cước của bạn sẽ chuyển trạng thái sang Đã phát hành, người mua có thể nhìn thấy gói cước khi đến thời gian bắt đầu. Bạn có chắc chắn muốn phát hành gói cước {Mã gói} không?"
 + Button "Sửa ngày bắt đầu", "Xác nhận"</t>
  </si>
  <si>
    <t>Mục QL gói cước - UC Ban hành gói cước Bước 2 TH1.1 - Kỹ thuật: Bảng quyết định</t>
  </si>
  <si>
    <t>Kiểm tra Xác nhận phát hành khi hiện tại &lt; thời gian bắt đầu</t>
  </si>
  <si>
    <t>ĐK: Như TC trên
 1. Click Phát hành
 2. Click Xác nhận</t>
  </si>
  <si>
    <t>2. 
 - Đóng popup, hiển thị toast "Phát hành gói cước thành công"
 - Ở lại màn chi tiết, trạng thái gói = "Đã phát hành"
 - Ẩn button Phát hành</t>
  </si>
  <si>
    <t>Mục QL gói cước - UC Ban hành gói cước Bước 4 TH1.1 - Kỹ thuật: Sơ đồ chuyển trạng thái (Nháp → Đã phát hành)</t>
  </si>
  <si>
    <t>Kiểm tra gói Đã phát hành chưa hiển thị trên kênh bán</t>
  </si>
  <si>
    <t>ĐK: Gói vừa chuyển Đã phát hành
 1. Mở giao diện mua gói trên kênh đã cấu hình (Web OA / Miniapp)</t>
  </si>
  <si>
    <t>1. Gói chưa hiển thị cho người mua</t>
  </si>
  <si>
    <t>Bảng Trạng thái gói cước STT 2</t>
  </si>
  <si>
    <t>Kiểm tra click "Sửa ngày bắt đầu"</t>
  </si>
  <si>
    <t>ĐK: Như TH1.1
 1. Click Phát hành
 2. Click "Sửa ngày bắt đầu"</t>
  </si>
  <si>
    <t>2. Điều hướng đến màn Chỉnh sửa gói cước; trạng thái gói vẫn là Nháp</t>
  </si>
  <si>
    <t>Mục QL gói cước - UC Ban hành gói cước Exception 3a - SRS chưa nêu có focus sẵn vào trường Thời gian bắt đầu không, Cần BA confirm</t>
  </si>
  <si>
    <t>Kiểm tra biên: thời gian bắt đầu = hiện tại + 1 phút</t>
  </si>
  <si>
    <t>ĐK: Tự động, bắt đầu = hiện tại + 1 phút
 1. Click Phát hành
 2. Click Xác nhận ngay</t>
  </si>
  <si>
    <t>2. Popup nội dung TH1.1, gói chuyển "Đã phát hành"</t>
  </si>
  <si>
    <t>Mục QL gói cước - UC Ban hành gói cước TH1.1 - Kỹ thuật: Phân tích giá trị biên</t>
  </si>
  <si>
    <t>Chuyển trạng thái tự động (scheduler)</t>
  </si>
  <si>
    <t>Kiểm tra gói Đã phát hành tự chuyển Đang kinh doanh khi đến thời gian bắt đầu</t>
  </si>
  <si>
    <t>ĐK: Gói Đã phát hành, Tự động, bắt đầu = hiện tại + 2 phút
 1. Chờ qua thời gian bắt đầu
 2. Tải lại màn chi tiết và danh sách</t>
  </si>
  <si>
    <t>2. 
 - Trạng thái gói = "Đang kinh doanh"
 - Gói hiển thị trên giao diện mua của các kênh đã cấu hình</t>
  </si>
  <si>
    <t>Bảng Trạng thái gói cước STT 2, 3 - Kỹ thuật: Sơ đồ chuyển trạng thái. SRS chưa nêu chu kỳ quét của hệ thống, Cần BA confirm</t>
  </si>
  <si>
    <t>Kiểm tra gói Đang kinh doanh tự chuyển Ngừng kinh doanh khi đến thời gian kết thúc</t>
  </si>
  <si>
    <t>ĐK: Gói Đang kinh doanh, Tự động, kết thúc = hiện tại + 2 phút
 1. Chờ qua thời gian kết thúc
 2. Tải lại màn chi tiết</t>
  </si>
  <si>
    <t>2. 
 - Trạng thái gói = "Ngừng kinh doanh"
 - Gói không còn hiển thị để mua mới; thuê bao cũ vẫn giữ quyền lợi</t>
  </si>
  <si>
    <t>Bảng Trạng thái gói cước STT 4 - Kỹ thuật: Sơ đồ chuyển trạng thái</t>
  </si>
  <si>
    <t>Kiểm tra gói Nháp không tự đổi trạng thái khi qua thời gian bắt đầu</t>
  </si>
  <si>
    <t>ĐK: Tạo gói Tự động, bắt đầu = hiện tại + 2 phút, KHÔNG phát hành
 1. Chờ qua thời gian bắt đầu
 2. Tải lại màn Chi tiết gói và danh sách</t>
  </si>
  <si>
    <t>2. Gói vẫn ở trạng thái "Nháp", không hiển thị trên kênh bán; button Phát hành vẫn hiển thị</t>
  </si>
  <si>
    <t>[Bổ sung 30/09/2026] Bảng Trạng thái gói cước STT 3 ghi "Từ Nháp → Đã phát hành tự động chuyển sang KHI hệ thống quét" - chưa rõ hệ thống có quét gói Nháp không - Cần BA confirm</t>
  </si>
  <si>
    <t>Kiểm tra gói Đã phát hành khi cả thời gian bắt đầu và kết thúc đều đã qua ở lần quét</t>
  </si>
  <si>
    <t>ĐK: Gói Đã phát hành, bắt đầu = hiện tại + 2 phút, kết thúc = hiện tại + 3 phút; job quét bị dừng trong khoảng này
 1. Bật lại job quét sau khi đã qua thời gian kết thúc
 2. Tải lại màn Chi tiết gói</t>
  </si>
  <si>
    <t>2. Gói chuyển thẳng "Ngừng kinh doanh", không dừng ở "Đang kinh doanh"; không hiển thị trên kênh bán</t>
  </si>
  <si>
    <t>[Bổ sung 30/09/2026] Bảng Trạng thái gói cước STT 4 TH1.3 - Kỹ thuật: Sơ đồ chuyển trạng thái. Cần dev hỗ trợ dừng job quét - Cần BA confirm</t>
  </si>
  <si>
    <t>TH1.2: Hiện tại ≥ Thời gian bắt đầu</t>
  </si>
  <si>
    <t>Kiểm tra popup khi thời gian hiện tại ≥ thời gian bắt đầu</t>
  </si>
  <si>
    <t>ĐK: Tự động, bắt đầu = hiện tại - 1 ngày, kết thúc = hiện tại + 30 ngày
 1. Click Phát hành</t>
  </si>
  <si>
    <t>1. Hiển thị popup:
 + Icon cảnh báo (!)
 + Tiêu đề: "Phát hành gói cước?"
 + Icon X góc trên bên phải
 + Nội dung: "Gói cước của bạn đã đến thời gian bắt đầu nên trạng thái sẽ chuyển sang Đang kinh doanh vì vậy người mua có thể nhìn thấy gói cước. Bạn có chắc chắn muốn phát hành gói cước {Mã gói} không?"
 + Button "Sửa ngày bắt đầu", "Xác nhận"</t>
  </si>
  <si>
    <t>Mục QL gói cước - UC Ban hành gói cước Bước 2 TH1.2 - Kỹ thuật: Bảng quyết định</t>
  </si>
  <si>
    <t>Kiểm tra Xác nhận phát hành khi hiện tại ≥ thời gian bắt đầu</t>
  </si>
  <si>
    <t>2. 
 - Đóng popup, toast "Phát hành gói cước thành công"
 - Trạng thái gói = "Đang kinh doanh"
 - Ẩn button Phát hành</t>
  </si>
  <si>
    <t>Mục QL gói cước - UC Ban hành gói cước Bước 4 TH1.2 - Kỹ thuật: Sơ đồ chuyển trạng thái (Nháp → Đang kinh doanh)</t>
  </si>
  <si>
    <t>Kiểm tra gói Đang kinh doanh xuất hiện ngay trên kênh bán</t>
  </si>
  <si>
    <t>ĐK: Gói vừa phát hành sang Đang kinh doanh, kênh bán = Web OA
 1. Mở giao diện mua gói trên Web OA
 2. Mở giao diện mua gói trên Miniapp</t>
  </si>
  <si>
    <t>1. Gói hiển thị ngay trên Web OA
 2. Không hiển thị trên Miniapp (không thuộc kênh cấu hình)</t>
  </si>
  <si>
    <t>Mục QL gói cước - UC Ban hành gói cước Post-condition 2 - Kỹ thuật: Phân vùng tương đương</t>
  </si>
  <si>
    <t>Kiểm tra biên: thời gian bắt đầu = đúng thời điểm hiện tại</t>
  </si>
  <si>
    <t>ĐK: Tự động, thời gian bắt đầu trùng thời điểm click Phát hành
 1. Click Phát hành</t>
  </si>
  <si>
    <t>1. Popup nội dung TH1.2 (hiện tại ≥ bắt đầu), xác nhận thì gói chuyển "Đang kinh doanh"</t>
  </si>
  <si>
    <t>Mục QL gói cước - UC Ban hành gói cước TH1.2 - Kỹ thuật: Phân tích giá trị biên</t>
  </si>
  <si>
    <t>Kiểm tra click "Sửa ngày bắt đầu" tại popup TH1.2</t>
  </si>
  <si>
    <t>ĐK: Như TH1.2
 1. Click Phát hành
 2. Click "Sửa ngày bắt đầu"</t>
  </si>
  <si>
    <t>2. Điều hướng đến màn Chỉnh sửa gói cước; trạng thái vẫn Nháp</t>
  </si>
  <si>
    <t>Mục QL gói cước - UC Ban hành gói cước Exception 3a</t>
  </si>
  <si>
    <t>Kiểm tra phát hành lại sau khi sửa ngày bắt đầu từ popup TH1.2</t>
  </si>
  <si>
    <t>ĐK: Tự động, hiện tại ≥ thời gian bắt đầu, hiện tại &lt; thời gian kết thúc
 1. Click Phát hành (popup TH1.2)
 2. Click "Sửa ngày bắt đầu"
 3. Sửa Thời gian bắt đầu = hiện tại + 1 ngày &gt; Lưu
 4. Quay lại Chi tiết gói &gt; click Phát hành
 5. Click Xác nhận</t>
  </si>
  <si>
    <t>2. Điều hướng đến màn Chỉnh sửa gói cước
 3. Lưu thành công, gói vẫn ở trạng thái Nháp
 4. Hiển thị popup nội dung TH1.1 (Đã phát hành), button "Sửa ngày bắt đầu"
 5. Gói chuyển "Đã phát hành", toast "Phát hành gói cước thành công"</t>
  </si>
  <si>
    <t>[Bổ sung 30/09/2026] UC Ban hành gói cước Exception 3a + Bước 2 TH1.1 - Kỹ thuật: Sơ đồ chuyển trạng thái. SRS UC Chỉnh sửa gói cước đang trống - Cần BA confirm</t>
  </si>
  <si>
    <t>Kiểm tra TH1.2 với gói tạo qua giao diện rồi chờ qua thời gian bắt đầu</t>
  </si>
  <si>
    <t>ĐK: Tạo gói Tự động, bắt đầu = hiện tại + 2 phút, kết thúc = hiện tại + 30 ngày, KHÔNG phát hành
 1. Chờ qua thời gian bắt đầu
 2. Mở Chi tiết gói &gt; click Phát hành
 3. Click Xác nhận</t>
  </si>
  <si>
    <t>2. Hiển thị popup nội dung TH1.2
 3. Gói chuyển "Đang kinh doanh"</t>
  </si>
  <si>
    <t>[Bổ sung 30/09/2026] UC2 STT 11 bắt buộc Thời gian bắt đầu &gt; hiện tại nên không tạo trực tiếp được gói có bắt đầu ở quá khứ (bộ TC cũ dùng "hiện tại - 1 ngày" phải sửa DB) - Kỹ thuật: Phân tích giá trị biên</t>
  </si>
  <si>
    <t>TH1.3: Hiện tại ≥ Thời gian kết thúc</t>
  </si>
  <si>
    <t>Kiểm tra popup khi thời gian hiện tại ≥ thời gian kết thúc</t>
  </si>
  <si>
    <t>ĐK: Tự động, bắt đầu = hiện tại - 30 ngày, kết thúc = hiện tại - 1 ngày
 1. Click Phát hành</t>
  </si>
  <si>
    <t>1. Hiển thị popup:
 + Icon cảnh báo (!)
 + Tiêu đề: "Phát hành gói cước?"
 + Icon X góc trên bên phải
 + Nội dung: "Gói cước của bạn đã đến thời gian kết thúc nên trạng thái sẽ chuyển sang Ngừng kinh doanh vì vậy người mua sẽ không nhìn thấy gói cước. Bạn có chắc chắn muốn phát hành gói cước {Mã gói} không?"
 + Button "Sửa ngày kết thúc", "Xác nhận"</t>
  </si>
  <si>
    <t>Mục QL gói cước - UC Ban hành gói cước Bước 2 TH1.3 - Kỹ thuật: Bảng quyết định. Điều kiện TH1.2 (≥ bắt đầu) và TH1.3 (≥ kết thúc) chồng lấn - SRS chưa nêu TH1.3 được ưu tiên, Cần BA confirm</t>
  </si>
  <si>
    <t>Kiểm tra Xác nhận phát hành khi hiện tại ≥ thời gian kết thúc</t>
  </si>
  <si>
    <t>2. 
 - Đóng popup, toast "Phát hành gói cước thành công"
 - Trạng thái gói = "Ngừng kinh doanh"
 - Gói không hiển thị trên kênh bán</t>
  </si>
  <si>
    <t>Mục QL gói cước - UC Ban hành gói cước Bước 4 TH1.3 - Kỹ thuật: Sơ đồ chuyển trạng thái (Nháp → Ngừng kinh doanh). Bảng trạng thái chỉ ghi Ngừng KD chuyển từ Đang KD/Đã phát hành, thiếu Nháp - Cần BA confirm</t>
  </si>
  <si>
    <t>Kiểm tra click "Sửa ngày kết thúc"</t>
  </si>
  <si>
    <t>ĐK: Như TH1.3
 1. Click Phát hành
 2. Click "Sửa ngày kết thúc"</t>
  </si>
  <si>
    <t>Kiểm tra phát hành lại sau khi gia hạn ngày kết thúc từ popup TH1.3</t>
  </si>
  <si>
    <t>ĐK: Tự động, hiện tại ≥ thời gian kết thúc
 1. Click Phát hành (popup TH1.3)
 2. Click "Sửa ngày kết thúc"
 3. Sửa Thời gian kết thúc = hiện tại + 30 ngày &gt; Lưu
 4. Quay lại Chi tiết gói &gt; click Phát hành
 5. Click Xác nhận</t>
  </si>
  <si>
    <t>3. Lưu thành công, gói vẫn Nháp
 4. Hiển thị popup nội dung TH1.2 (Đang kinh doanh)
 5. Gói chuyển "Đang kinh doanh"</t>
  </si>
  <si>
    <t>[Bổ sung 30/09/2026] UC Ban hành gói cước Exception 3a. Rủi ro: Thời gian bắt đầu đã ở quá khứ, nếu màn Chỉnh sửa áp rule "Thời gian bắt đầu &gt; hiện tại" (UC2 STT 11) thì không lưu được - Cần BA confirm</t>
  </si>
  <si>
    <t>Kiểm tra biên: thời gian kết thúc = đúng thời điểm hiện tại</t>
  </si>
  <si>
    <t>ĐK: Tự động, thời gian kết thúc trùng thời điểm click Phát hành
 1. Click Phát hành</t>
  </si>
  <si>
    <t>1. Popup nội dung TH1.3, xác nhận thì gói chuyển "Ngừng kinh doanh"</t>
  </si>
  <si>
    <t>Mục QL gói cước - UC Ban hành gói cước TH1.3 - Kỹ thuật: Phân tích giá trị biên</t>
  </si>
  <si>
    <t>Kiểm tra biên: thời gian kết thúc = hiện tại + 1 phút</t>
  </si>
  <si>
    <t>ĐK: Tự động, bắt đầu đã qua, kết thúc = hiện tại + 1 phút
 1. Click Phát hành</t>
  </si>
  <si>
    <t>1. Popup nội dung TH1.2 (chưa đến thời gian kết thúc), xác nhận thì gói chuyển "Đang kinh doanh"</t>
  </si>
  <si>
    <t>Mục QL gói cước - UC Ban hành gói cước TH1.2/TH1.3 - Kỹ thuật: Phân tích giá trị biên</t>
  </si>
  <si>
    <t>Kiểm tra TH1.3 với gói tạo qua giao diện rồi chờ qua thời gian kết thúc</t>
  </si>
  <si>
    <t>ĐK: Tạo gói Tự động, bắt đầu = hiện tại + 2 phút, kết thúc = hiện tại + 4 phút, KHÔNG phát hành
 1. Chờ qua thời gian kết thúc
 2. Mở Chi tiết gói &gt; click Phát hành
 3. Click Xác nhận</t>
  </si>
  <si>
    <t>2. Hiển thị popup nội dung TH1.3 (không phải TH1.2 dù hiện tại cũng ≥ thời gian bắt đầu)
 3. Gói chuyển "Ngừng kinh doanh"</t>
  </si>
  <si>
    <t>[Bổ sung 30/09/2026] UC Ban hành gói cước TH1.2/TH1.3 chồng điều kiện - Kỹ thuật: Bảng quyết định. SRS chưa nêu thứ tự ưu tiên - Cần BA confirm</t>
  </si>
  <si>
    <t>Mốc thời gian đổi khi popup đang mở</t>
  </si>
  <si>
    <t>Kiểm tra trạng thái khi đến thời gian bắt đầu trong lúc popup TH1.1 đang mở</t>
  </si>
  <si>
    <t>ĐK: Tự động, bắt đầu = hiện tại + 1 phút
 1. Click Phát hành (popup TH1.1)
 2. Chờ qua thời gian bắt đầu
 3. Click Xác nhận</t>
  </si>
  <si>
    <t>3. Gói chuyển trạng thái theo thời điểm xác nhận (Đang kinh doanh), không kẹt ở Đã phát hành</t>
  </si>
  <si>
    <t>Mục QL gói cước - UC Ban hành gói cước - SRS chưa nêu so thời gian tại lúc mở popup hay lúc xác nhận - Cần BA confirm</t>
  </si>
  <si>
    <t>Múi giờ</t>
  </si>
  <si>
    <t>Kiểm tra so sánh thời gian theo giờ server khi giờ máy admin bị lệch</t>
  </si>
  <si>
    <t>ĐK: Tự động, bắt đầu = hiện tại (giờ server) + 1 ngày; chỉnh giờ máy admin nhanh hơn 2 ngày
 1. Click Phát hành
 2. Click Xác nhận</t>
  </si>
  <si>
    <t>1. Hiển thị popup nội dung TH1.1 (theo giờ server), không phải TH1.2
 2. Gói chuyển "Đã phát hành"</t>
  </si>
  <si>
    <t>[Bổ sung 30/09/2026] SRS chưa nêu mốc so sánh lấy giờ server hay giờ client - Cần BA confirm - Kỹ thuật: Phân vùng tương đương</t>
  </si>
  <si>
    <t>Luồng Bật/tắt trạng thái = Thủ công</t>
  </si>
  <si>
    <t>Th2.1: Trạng thái KD = Đang kinh doanh</t>
  </si>
  <si>
    <t>Kiểm tra popup khi trạng thái kinh doanh = Đang kinh doanh</t>
  </si>
  <si>
    <t>ĐK: Thủ công, Trạng thái kinh doanh = Đang kinh doanh
 1. Click Phát hành</t>
  </si>
  <si>
    <t>1. Hiển thị popup:
 + Icon cảnh báo (!)
 + Tiêu đề: "Phát hành gói cước?"
 + Icon X góc trên bên phải
 + Nội dung: "Trạng thái kinh doanh của gói cước là Đang kinh doanh vì vậy người mua có thể nhìn thấy. Bạn có chắc chắn muốn phát hành gói cước {Mã gói} không?"
 + Button "Sửa trạng thái kinh doanh", "Xác nhận"</t>
  </si>
  <si>
    <t>Mục QL gói cước - UC Ban hành gói cước Bước 2 Th2.1 - Kỹ thuật: Bảng quyết định</t>
  </si>
  <si>
    <t>Kiểm tra Xác nhận phát hành khi trạng thái KD = Đang kinh doanh</t>
  </si>
  <si>
    <t>2. 
 - Đóng popup, toast "Phát hành gói cước thành công"
 - Trạng thái gói = "Đang kinh doanh"
 - Gói hiển thị ngay trên kênh bán đã cấu hình</t>
  </si>
  <si>
    <t>Mục QL gói cước - UC Ban hành gói cước Bước 4 Th2.1 - Kỹ thuật: Sơ đồ chuyển trạng thái (Nháp → Đang kinh doanh)</t>
  </si>
  <si>
    <t>Kiểm tra click "Sửa trạng thái kinh doanh" (Th2.1)</t>
  </si>
  <si>
    <t>ĐK: Như Th2.1
 1. Click Phát hành
 2. Click "Sửa trạng thái kinh doanh"</t>
  </si>
  <si>
    <t>Kiểm tra đổi cơ chế Thủ công sang Tự động từ popup rồi phát hành lại</t>
  </si>
  <si>
    <t>ĐK: Thủ công, Trạng thái kinh doanh = Đang kinh doanh
 1. Click Phát hành (popup Th2.1)
 2. Click "Sửa trạng thái kinh doanh"
 3. Đổi Bật/tắt trạng thái = Tự động, bắt đầu = hiện tại + 1 ngày, kết thúc = hiện tại + 30 ngày &gt; Lưu
 4. Quay lại Chi tiết gói &gt; click Phát hành</t>
  </si>
  <si>
    <t>4. Hiển thị popup nội dung TH1.1 (theo nhánh Tự động), button "Sửa ngày bắt đầu"</t>
  </si>
  <si>
    <t>[Bổ sung 30/09/2026] UC Ban hành gói cước Bước 2 Th1/Th2 - Kỹ thuật: Bảng quyết định</t>
  </si>
  <si>
    <t>Th2.2: Trạng thái KD = Ngừng kinh doanh</t>
  </si>
  <si>
    <t>Kiểm tra popup khi trạng thái kinh doanh = Ngừng kinh doanh</t>
  </si>
  <si>
    <t>ĐK: Thủ công, Trạng thái kinh doanh = Ngừng kinh doanh
 1. Click Phát hành</t>
  </si>
  <si>
    <t>1. Hiển thị popup:
 + Icon cảnh báo (!)
 + Tiêu đề: "Phát hành gói cước?"
 + Icon X góc trên bên phải
 + Nội dung: "Trạng thái kinh doanh gói cước là Ngừng kinh doanh vì vậy người mua sẽ không nhìn thấy. Bạn có chắc chắn muốn phát hành gói cước {Mã gói} không?"
 + Button "Sửa trạng thái kinh doanh", "Xác nhận"</t>
  </si>
  <si>
    <t>Mục QL gói cước - UC Ban hành gói cước Bước 2 Th2.2 - Kỹ thuật: Bảng quyết định</t>
  </si>
  <si>
    <t>Kiểm tra Xác nhận phát hành khi trạng thái KD = Ngừng kinh doanh</t>
  </si>
  <si>
    <t>Mục QL gói cước - UC Ban hành gói cước Bước 4 Th2.2 - Kỹ thuật: Sơ đồ chuyển trạng thái (Nháp → Ngừng kinh doanh)</t>
  </si>
  <si>
    <t>Kiểm tra click "Sửa trạng thái kinh doanh" (Th2.2)</t>
  </si>
  <si>
    <t>ĐK: Như Th2.2
 1. Click Phát hành
 2. Click "Sửa trạng thái kinh doanh"</t>
  </si>
  <si>
    <t>Kiểm tra phát hành lại sau khi đổi trạng thái kinh doanh từ popup Th2.2</t>
  </si>
  <si>
    <t>ĐK: Thủ công, Trạng thái kinh doanh = Ngừng kinh doanh
 1. Click Phát hành (popup Th2.2)
 2. Click "Sửa trạng thái kinh doanh"
 3. Đổi Trạng thái kinh doanh = Đang kinh doanh &gt; Lưu
 4. Quay lại Chi tiết gói &gt; click Phát hành
 5. Click Xác nhận</t>
  </si>
  <si>
    <t>4. Hiển thị popup nội dung Th2.1, button "Sửa trạng thái kinh doanh"
 5. Gói chuyển "Đang kinh doanh", hiển thị trên kênh bán đã cấu hình</t>
  </si>
  <si>
    <t>[Bổ sung 30/09/2026] UC Ban hành gói cước Exception 3a + Bước 2 Th2.1 - Kỹ thuật: Sơ đồ chuyển trạng thái</t>
  </si>
  <si>
    <t>Thủ công không phụ thuộc thời gian</t>
  </si>
  <si>
    <t>Kiểm tra phát hành Thủ công không xét thời gian</t>
  </si>
  <si>
    <t>ĐK: Thủ công, Trạng thái KD = Đang kinh doanh (gói không có thời gian bắt đầu/kết thúc)
 1. Click Phát hành
 2. Xác nhận</t>
  </si>
  <si>
    <t>2. Chỉ căn cứ Trạng thái kinh doanh: gói chuyển "Đang kinh doanh", không hiển thị popup theo thời gian</t>
  </si>
  <si>
    <t>Mục QL gói cước - UC Ban hành gói cước Bước 2 Th2 - Kỹ thuật: Phân vùng tương đương</t>
  </si>
  <si>
    <t>Huỷ / đóng popup</t>
  </si>
  <si>
    <t>Icon X</t>
  </si>
  <si>
    <t>Kiểm tra click icon X trên popup</t>
  </si>
  <si>
    <t>1. Click Phát hành
 2. Click icon X</t>
  </si>
  <si>
    <t>2. 
 - Đóng popup, ở lại màn chi tiết
 - Trạng thái gói giữ nguyên "Nháp", không lưu thay đổi
 - Button Phát hành vẫn hiển thị</t>
  </si>
  <si>
    <t>Mục QL gói cước - UC Ban hành gói cước Exception 3b, AF_01 - Kỹ thuật: Sơ đồ chuyển trạng thái</t>
  </si>
  <si>
    <t>Kiểm tra icon X ở cả 5 biến thể popup</t>
  </si>
  <si>
    <t>ĐK: Lần lượt tạo gói theo TH1.1, TH1.2, TH1.3, Th2.1, Th2.2
 1. Click Phát hành
 2. Click icon X</t>
  </si>
  <si>
    <t>2. Cả 5 trường hợp đều đóng popup, gói giữ trạng thái Nháp</t>
  </si>
  <si>
    <t>Mục QL gói cước - UC Ban hành gói cước AF_01 - Kỹ thuật: Bảng quyết định</t>
  </si>
  <si>
    <t>Button Hủy</t>
  </si>
  <si>
    <t>Kiểm tra button Hủy trên popup</t>
  </si>
  <si>
    <t>1. Click Phát hành
 2. Click Hủy</t>
  </si>
  <si>
    <t>2. Đóng popup, gói giữ trạng thái Nháp</t>
  </si>
  <si>
    <t>Mục QL gói cước - UC Ban hành gói cước STT 4, AF_01 - Design không có nút Hủy (thay bằng nút "Sửa ngày..."), nếu design đúng thì TC này N/A - Cần BA confirm</t>
  </si>
  <si>
    <t>Phím Esc</t>
  </si>
  <si>
    <t>1. Click Phát hành
 2. Nhấn Esc</t>
  </si>
  <si>
    <t>SRS chưa mô tả - Cần BA confirm</t>
  </si>
  <si>
    <t>Kiểm tra mở lại popup sau khi huỷ</t>
  </si>
  <si>
    <t>1. Click Phát hành
 2. Click X
 3. Click Phát hành lần nữa</t>
  </si>
  <si>
    <t>3. Popup hiển thị lại đúng nội dung theo trường hợp của gói</t>
  </si>
  <si>
    <t>Mục QL gói cước - UC Ban hành gói cước AF_01</t>
  </si>
  <si>
    <t>Thoát màn Chỉnh sửa không lưu</t>
  </si>
  <si>
    <t>Kiểm tra quay lại từ màn Chỉnh sửa (mở từ popup) mà không lưu</t>
  </si>
  <si>
    <t>1. Click Phát hành
 2. Click button phụ "Sửa ..." trên popup
 3. Tại màn Chỉnh sửa, thay đổi 1 trường rồi click Back, xác nhận thoát</t>
  </si>
  <si>
    <t>3. 
 - Quay lại màn Chi tiết gói
 - Dữ liệu gói không đổi, trạng thái vẫn "Nháp"
 - Button Phát hành vẫn hiển thị</t>
  </si>
  <si>
    <t>[Bổ sung 30/09/2026] UC Ban hành gói cước Exception 3a - SRS UC Chỉnh sửa trống, popup xác nhận thoát theo UC2 AF 01 - Cần BA confirm</t>
  </si>
  <si>
    <t>Tải lại trang</t>
  </si>
  <si>
    <t>Kiểm tra nhấn F5 khi popup phát hành đang mở</t>
  </si>
  <si>
    <t>1. Click Phát hành
 2. Nhấn F5</t>
  </si>
  <si>
    <t>2. Trang tải lại, popup đóng, gói giữ "Nháp", button Phát hành vẫn hiển thị</t>
  </si>
  <si>
    <t>[Bổ sung 30/09/2026] UC Ban hành gói cước AF_01 - Kỹ thuật: Sơ đồ chuyển trạng thái (giữ nguyên)</t>
  </si>
  <si>
    <t>Back trình duyệt</t>
  </si>
  <si>
    <t>Kiểm tra nhấn Back của trình duyệt khi popup phát hành đang mở</t>
  </si>
  <si>
    <t>1. Click Phát hành
 2. Nhấn nút Back của trình duyệt</t>
  </si>
  <si>
    <t>2. Popup đóng, quay về màn Quản lý gói cước; gói giữ "Nháp"</t>
  </si>
  <si>
    <t>[Bổ sung 30/09/2026] UC xem chi tiết AF_01 - SRS chưa mô tả khi popup đang mở - Cần BA confirm</t>
  </si>
  <si>
    <t>Lưu dữ liệu</t>
  </si>
  <si>
    <t>Kiểm tra dữ liệu lưu sau khi phát hành</t>
  </si>
  <si>
    <t>1. Phát hành thành công 1 gói
 2. Kiểm tra bản ghi plan trong DB</t>
  </si>
  <si>
    <t>2. 
 - status = trạng thái mới đúng rule
 - updated_by = Admin phát hành
 - updated_at = thời điểm xác nhận
 - Các trường khác không đổi</t>
  </si>
  <si>
    <t>Mục QL gói cước - UC Ban hành gói cước Bước 4.2</t>
  </si>
  <si>
    <t>Kiểm tra danh sách cập nhật sau khi phát hành</t>
  </si>
  <si>
    <t>1. Phát hành thành công 1 gói
 2. Quay lại màn Quản lý gói cước</t>
  </si>
  <si>
    <t>2. Cột Trạng thái, Thời gian cập nhật, Người cập nhật của gói hiển thị giá trị mới</t>
  </si>
  <si>
    <t>Mục QL gói cước - UC Ban hành gói cước Post-condition 1</t>
  </si>
  <si>
    <t>Kiểm tra lưu vết audit khi phát hành</t>
  </si>
  <si>
    <t>1. Phát hành 1 gói
 2. Kiểm tra log kiểm toán</t>
  </si>
  <si>
    <t>2. Ghi log: người thao tác, thời gian, IP, trạng thái cũ (Nháp) → mới</t>
  </si>
  <si>
    <t>NFR 3.3</t>
  </si>
  <si>
    <t>Kiểm tra gói Đang kinh doanh có kênh bán = Web OA và Miniapp</t>
  </si>
  <si>
    <t>ĐK: Gói Thủ công, Đang kinh doanh, Kênh phân phối = Web OA + Miniapp gói cước Tammi
 1. Phát hành &gt; Xác nhận
 2. Mở tab Gói cước trên Web OA
 3. Mở Miniapp gói cước Tammi</t>
  </si>
  <si>
    <t>2. Gói hiển thị trên Web OA
 3. Loại gói của gói hiển thị trên Miniapp</t>
  </si>
  <si>
    <t>[Bổ sung 30/09/2026] UC Ban hành gói cước Post-condition 2 - Kỹ thuật: Phân vùng tương đương (kênh bán)</t>
  </si>
  <si>
    <t>Kiểm tra gói Đang kinh doanh chỉ có kênh bán = Miniapp</t>
  </si>
  <si>
    <t>ĐK: Gói Thủ công, Đang kinh doanh, Kênh phân phối = Miniapp gói cước Tammi
 1. Phát hành &gt; Xác nhận
 2. Mở tab Gói cước trên Web OA
 3. Mở Miniapp gói cước Tammi</t>
  </si>
  <si>
    <t>2. Gói không hiển thị trên Web OA
 3. Loại gói của gói hiển thị trên Miniapp</t>
  </si>
  <si>
    <t>Kiểm tra gói chính sau phát hành hiển thị tại khối chọn gói chính trên Web OA</t>
  </si>
  <si>
    <t>ĐK: Gói Loại hình = Gói chính, loại dịch vụ = OA, kênh = Web OA, Thủ công, Đang kinh doanh; loại gói Đang hoạt động, áp dụng đúng loại hình/danh mục của OA test
 1. Phát hành &gt; Xác nhận
 2. Mở tab Gói cước trên Web OA</t>
  </si>
  <si>
    <t>2. Gói hiển thị tại khối "Bước 1 - Chọn gói OA chính", chu kỳ của gói có trong nhóm button Chu kỳ thanh toán</t>
  </si>
  <si>
    <t>[Bổ sung 30/09/2026] Tab Luồng mua gói cước trên web OA - UC Hiển thị gói chính BR2 - Kỹ thuật: Phân vùng tương đương (loại hình gói)</t>
  </si>
  <si>
    <t>Kiểm tra gói add-on sau phát hành hiển thị tại khối Add-on trên Web OA</t>
  </si>
  <si>
    <t>ĐK: Gói Loại hình = Gói add-on, kênh = Web OA, Thủ công, Đang kinh doanh; loại gói Đang hoạt động
 1. Phát hành &gt; Xác nhận
 2. Mở tab Gói cước trên Web OA</t>
  </si>
  <si>
    <t>2. Gói hiển thị tại khối "Bước 2 - Thêm gói Add-on" trong hàng loại gói tương ứng, không hiển thị ở khối gói chính</t>
  </si>
  <si>
    <t>[Bổ sung 30/09/2026] Tab Luồng mua gói cước trên web OA - UC Hiển thị gói add-on BR2 - Kỹ thuật: Phân vùng tương đương (loại hình gói)</t>
  </si>
  <si>
    <t>Kiểm tra gói nền sau phát hành không hiển thị trong giao diện mua</t>
  </si>
  <si>
    <t>ĐK: Gói Loại hình = Gói nền, kênh = Web OA, Thủ công, Đang kinh doanh
 1. Phát hành &gt; Xác nhận
 2. Mở tab Gói cước trên Web OA</t>
  </si>
  <si>
    <t>1. Phát hành thành công, gói chuyển "Đang kinh doanh"
 2. Gói không hiển thị ở khối gói chính lẫn khối Add-on</t>
  </si>
  <si>
    <t>[Bổ sung 30/09/2026] UC2 dữ liệu cần lưu - plan_role "Nền: mặc định kích hoạt khi khởi tạo tk OA"; BR2 web OA chỉ lấy gói Chính/Add-on. SRS chưa nêu gói nền có cần phát hành / hiển thị ở đâu - Cần BA confirm</t>
  </si>
  <si>
    <t>Điều kiện loại gói</t>
  </si>
  <si>
    <t>Kiểm tra gói Đang kinh doanh không hiển thị cho OA không thuộc loại hình áp dụng</t>
  </si>
  <si>
    <t>ĐK: Loại gói chỉ áp dụng Loại hình OA = "Doanh nghiệp"; OA test thuộc loại hình khác
 1. Phát hành gói (Đang kinh doanh)
 2. Đăng nhập Web OA bằng OA test &gt; mở tab Gói cước</t>
  </si>
  <si>
    <t>2. Gói không hiển thị với OA này dù đã Đang kinh doanh</t>
  </si>
  <si>
    <t>[Bổ sung 30/09/2026] Tab Luồng mua gói cước trên web OA - UC Hiển thị gói chính BR2 (điều kiện theo loại gói) - Kỹ thuật: Phân vùng tương đương</t>
  </si>
  <si>
    <t>Chống thao tác trùng</t>
  </si>
  <si>
    <t>Kiểm tra click Xác nhận liên tục</t>
  </si>
  <si>
    <t>1. Click Phát hành
 2. Click Xác nhận liên tục nhiều lần</t>
  </si>
  <si>
    <t>2. Chỉ gửi 1 yêu cầu, gói chuyển trạng thái 1 lần, chỉ 1 toast thành công</t>
  </si>
  <si>
    <t>NFR 1.3</t>
  </si>
  <si>
    <t>Kiểm tra trạng thái button Xác nhận khi API phát hành phản hồi chậm</t>
  </si>
  <si>
    <t>ĐK: Giả lập API phát hành phản hồi sau 5 giây
 1. Click Phát hành &gt; Xác nhận
 2. Click lại Xác nhận trong lúc chờ</t>
  </si>
  <si>
    <t>1. Button Xác nhận hiển thị trạng thái đang xử lý / disable
 2. Không gửi thêm yêu cầu; sau khi có phản hồi chỉ hiển thị 1 toast</t>
  </si>
  <si>
    <t>[Bổ sung 30/09/2026] NFR 1.1, 1.3 - SRS chưa mô tả trạng thái loading - Cần BA confirm</t>
  </si>
  <si>
    <t>Toast thông báo</t>
  </si>
  <si>
    <t>Kiểm tra toast thành công</t>
  </si>
  <si>
    <t>1. Phát hành thành công
 2. Kiểm tra toast</t>
  </si>
  <si>
    <t>2. Hiển thị toast "Phát hành gói cước thành công", tự ẩn sau vài giây</t>
  </si>
  <si>
    <t>Mục QL gói cước - UC Ban hành gói cước Bước 4.3</t>
  </si>
  <si>
    <t>Trạng thái gói trên thanh tiêu đề</t>
  </si>
  <si>
    <t>Kiểm tra nhãn trạng thái cập nhật ngay sau khi phát hành</t>
  </si>
  <si>
    <t>1. Kiểm tra nhãn trạng thái cạnh tiêu đề "Chi tiết gói cước"
 2. Click Phát hành &gt; Xác nhận
 3. Kiểm tra lại nhãn trạng thái (không tải lại trang)</t>
  </si>
  <si>
    <t>1. Hiển thị nhãn "Nháp" dạng chấm tròn + text theo design
 3. Nhãn đổi ngay sang trạng thái mới (VD "Đã phát hành") với màu theo design, không cần tải lại trang</t>
  </si>
  <si>
    <t>[Bổ sung 30/09/2026] Figma frame Nháp / Đã phát hành / Đang kinh doanh - UC Ban hành gói cước Post-condition 1</t>
  </si>
  <si>
    <t>Chuyển trạng thái không hợp lệ</t>
  </si>
  <si>
    <t>Kiểm tra không thể phát hành lại gói đã phát hành</t>
  </si>
  <si>
    <t>ĐK: Gói ở trạng thái Đã phát hành / Đang kinh doanh / Ngừng kinh doanh
 1. Mở chi tiết gói
 2. Gọi API phát hành trực tiếp với plan_id của gói</t>
  </si>
  <si>
    <t>1. Không hiển thị button Phát hành
 2. API trả lỗi, trạng thái gói không đổi</t>
  </si>
  <si>
    <t>Mục QL gói cước - UC Ban hành gói cước BR_01 - Kỹ thuật: Sơ đồ chuyển trạng thái (chuyển không hợp lệ)</t>
  </si>
  <si>
    <t>Kiểm tra phát hành gói đã bị xoá</t>
  </si>
  <si>
    <t>ĐK: Admin A đang mở chi tiết gói Nháp; Admin B xoá gói
 1. Admin A click Phát hành &gt; Xác nhận</t>
  </si>
  <si>
    <t>1. Không cho phép phát hành, hiển thị thông báo lỗi; gói giữ Đã xoá</t>
  </si>
  <si>
    <t>Kỹ thuật: Sơ đồ chuyển trạng thái (tranh chấp) - SRS chưa mô tả, Cần BA confirm</t>
  </si>
  <si>
    <t>Tranh chấp</t>
  </si>
  <si>
    <t>Kiểm tra 2 admin cùng phát hành 1 gói</t>
  </si>
  <si>
    <t>ĐK: Admin A và B cùng mở chi tiết 1 gói Nháp
 1. A click Phát hành &gt; Xác nhận
 2. B click Phát hành &gt; Xác nhận</t>
  </si>
  <si>
    <t>1. A phát hành thành công, toast "Phát hành gói cước thành công"
 2. B nhận thông báo lỗi, không phát sinh chuyển trạng thái lần 2</t>
  </si>
  <si>
    <t>Kỹ thuật: Sơ đồ chuyển trạng thái (tranh chấp) - Cần BA confirm</t>
  </si>
  <si>
    <t>Kiểm tra phát hành khi dữ liệu gói vừa bị admin khác sửa</t>
  </si>
  <si>
    <t>ĐK: A mở chi tiết gói (Thủ công, Đang KD); B sửa gói thành Thủ công, Ngừng KD
 1. A click Phát hành &gt; Xác nhận</t>
  </si>
  <si>
    <t>1. Hệ thống xử lý theo dữ liệu mới nhất trong DB (gói chuyển Ngừng kinh doanh) hoặc yêu cầu A tải lại trang</t>
  </si>
  <si>
    <t>Dữ liệu chưa hợp lệ</t>
  </si>
  <si>
    <t>Kiểm tra phát hành gói thiếu tham số tính năng</t>
  </si>
  <si>
    <t>ĐK: Loại gói vừa được thêm tính năng mới sau khi gói Nháp đã tạo (gói thiếu tham số tính năng đó)
 1. Click Phát hành &gt; Xác nhận</t>
  </si>
  <si>
    <t>1. Chặn phát hành, báo gói chưa cấu hình đủ tham số</t>
  </si>
  <si>
    <t>Mục QL gói cước - UC Ban hành gói cước Pre-condition 3 - SRS chưa nêu validate khi phát hành, Cần BA confirm</t>
  </si>
  <si>
    <t>Kiểm tra Xác nhận khi mất mạng</t>
  </si>
  <si>
    <t>1. Click Phát hành
 2. Ngắt mạng
 3. Click Xác nhận</t>
  </si>
  <si>
    <t>3. 
 - Hiển thị toast "Thất bại. Vui lòng kiểm tra lại kết nối."
 - Gói giữ Nháp, cho phép click lại</t>
  </si>
  <si>
    <t>Mục QL gói cước - UC Ban hành gói cước Exception 4a</t>
  </si>
  <si>
    <t>Kiểm tra phát hành lại sau khi có mạng</t>
  </si>
  <si>
    <t>ĐK: Vừa gặp lỗi mạng
 1. Bật mạng
 2. Click lại Phát hành &gt; Xác nhận</t>
  </si>
  <si>
    <t>2. Phát hành thành công, toast "Phát hành gói cước thành công"</t>
  </si>
  <si>
    <t>Kiểm tra Xác nhận khi API lỗi hệ thống</t>
  </si>
  <si>
    <t>ĐK: API phát hành trả lỗi 500
 1. Click Phát hành &gt; Xác nhận</t>
  </si>
  <si>
    <t>1. 
 - Hiển thị toast "Hệ thống bận. Vui lòng thử lại sau." kèm mã lỗi
 - Gói giữ Nháp, cho phép click lại</t>
  </si>
  <si>
    <t>Mục QL gói cước - UC Ban hành gói cước Exception 4b</t>
  </si>
  <si>
    <t>Phiên đăng nhập</t>
  </si>
  <si>
    <t>Kiểm tra click Xác nhận khi phiên đăng nhập đã hết hạn</t>
  </si>
  <si>
    <t>ĐK: Mở popup phát hành, để phiên đăng nhập hết hạn (hoặc đăng xuất ở tab khác)
 1. Click Xác nhận</t>
  </si>
  <si>
    <t>1. 
 - Không phát hành, gói giữ "Nháp"
 - Điều hướng về màn đăng nhập (hoặc thông báo hết phiên)</t>
  </si>
  <si>
    <t>[Bổ sung 30/09/2026] NFR 3.1 - SRS chưa mô tả - Cần BA confirm</t>
  </si>
  <si>
    <t>Kiểm tra admin không có quyền phát hành</t>
  </si>
  <si>
    <t>ĐK: Tài khoản chỉ có quyền xem gói cước
 1. Mở chi tiết gói Nháp</t>
  </si>
  <si>
    <t>1. Không hiển thị button Phát hành / gọi API bị từ chối</t>
  </si>
  <si>
    <t>Mục QL gói cước - UC Ban hành gói cước Pre-condition 1, NFR 3.1 - Cần BA confirm</t>
  </si>
  <si>
    <t>Hậu phát hành</t>
  </si>
  <si>
    <t>Kiểm tra hạn chế chỉnh sửa sau khi gói Đã phát hành</t>
  </si>
  <si>
    <t>ĐK: Gói vừa chuyển Đã phát hành
 1. Click Chỉnh sửa
 2. Thử sửa Mã gói, Loại gói, Tham số</t>
  </si>
  <si>
    <t>2. Không cho sửa Mã gói, Loại gói, Tham số</t>
  </si>
  <si>
    <t>Bảng Trạng thái gói cước STT 2 - thuộc UC Chỉnh sửa, kiểm tra hệ quả của phát hành</t>
  </si>
  <si>
    <t>Kiểm tra hạn chế chỉnh sửa sau khi gói Đang kinh doanh</t>
  </si>
  <si>
    <t>ĐK: Gói vừa chuyển Đang kinh doanh
 1. Click Chỉnh sửa
 2. Thử sửa Mã gói, Chu kỳ, Loại hình</t>
  </si>
  <si>
    <t>2. Không cho sửa Mã gói, Chu kỳ, Loại hình</t>
  </si>
  <si>
    <t>Bảng Trạng thái gói cước STT 3</t>
  </si>
  <si>
    <t>Kiểm tra ẩn button Phát hành và Nhân bản gói sau khi phát hành</t>
  </si>
  <si>
    <t>1. Click Phát hành &gt; Xác nhận (gói chuyển Đã phát hành)
 2. Kiểm tra cụm button thanh tiêu đề</t>
  </si>
  <si>
    <t>2. Chỉ còn button "Chỉnh sửa", "Xóa"; không hiển thị "Phát hành", "Nhân bản gói"</t>
  </si>
  <si>
    <t>[Bổ sung 30/09/2026] Figma frame Đã phát hành, Đang kinh doanh: không có Phát hành, Nhân bản gói. SRS không nêu rule ẩn Nhân bản gói - Cần BA confirm - Kỹ thuật: Bảng quyết định</t>
  </si>
  <si>
    <t>1. PHÂN VÙNG TƯƠNG ĐƯƠNG - Giá trị các trường Bộ lọc</t>
  </si>
  <si>
    <t>Trường lọc</t>
  </si>
  <si>
    <t>Lớp tương đương (option)</t>
  </si>
  <si>
    <t>Giá trị đại diện / dữ liệu</t>
  </si>
  <si>
    <t>Lớp không hợp lệ / ngoài phạm vi</t>
  </si>
  <si>
    <t>Chu kỳ</t>
  </si>
  <si>
    <t>Ngày | Tuần | Tháng | Năm</t>
  </si>
  <si>
    <t>14 ngày · 2 tuần · 12 tháng · 1 năm (lọc theo đơn vị đã lưu, không quy đổi)</t>
  </si>
  <si>
    <t>Gói Đã xoá (không hiển thị)</t>
  </si>
  <si>
    <t>TC-142, TC-143, TC-144, TC-145</t>
  </si>
  <si>
    <t>Nền | Chính | Add-on</t>
  </si>
  <si>
    <t>Gói Chính, gói Add-on, gói Nền</t>
  </si>
  <si>
    <t>-</t>
  </si>
  <si>
    <t>TC-161, TC-162, TC-163</t>
  </si>
  <si>
    <t>Nháp | Đã phát hành | Đang kinh doanh | Ngừng kinh doanh</t>
  </si>
  <si>
    <t>1 gói mỗi trạng thái</t>
  </si>
  <si>
    <t>Đã xoá - không có trong option</t>
  </si>
  <si>
    <t>TC-165, TC-166, TC-167, TC-168, TC-169</t>
  </si>
  <si>
    <t>Kênh phân phối</t>
  </si>
  <si>
    <t>Web OA | Miniapp Tammi</t>
  </si>
  <si>
    <t>Gói chỉ Web OA · chỉ Mini app · cả 2 kênh</t>
  </si>
  <si>
    <t>TC-174, TC-175, TC-176</t>
  </si>
  <si>
    <t>Khớp toàn bộ | Khớp một phần | Không khớp</t>
  </si>
  <si>
    <t>"Tháng" · "kinh doanh" · "abcxyz"</t>
  </si>
  <si>
    <t>Ký tự đặc biệt, script, toàn khoảng trắng</t>
  </si>
  <si>
    <t>TC-151, TC-152, TC-155</t>
  </si>
  <si>
    <t>2. BẢNG QUYẾT ĐỊNH - Kết quả khi Áp dụng Bộ lọc</t>
  </si>
  <si>
    <t>Điều kiện / Kết quả</t>
  </si>
  <si>
    <t>R1</t>
  </si>
  <si>
    <t>R2</t>
  </si>
  <si>
    <t>R3</t>
  </si>
  <si>
    <t>R4</t>
  </si>
  <si>
    <t>R5</t>
  </si>
  <si>
    <t>R6</t>
  </si>
  <si>
    <t>Số trường có giá trị</t>
  </si>
  <si>
    <t>0</t>
  </si>
  <si>
    <t>1</t>
  </si>
  <si>
    <t>≥ 2</t>
  </si>
  <si>
    <t>≥ 1</t>
  </si>
  <si>
    <t>Số giá trị trong 1 trường</t>
  </si>
  <si>
    <t>Có từ khoá ô tìm kiếm</t>
  </si>
  <si>
    <t>Không</t>
  </si>
  <si>
    <t>Có</t>
  </si>
  <si>
    <t>Có bản ghi thoả mãn</t>
  </si>
  <si>
    <t>Disable</t>
  </si>
  <si>
    <t>Enable</t>
  </si>
  <si>
    <t>Kết quả</t>
  </si>
  <si>
    <t>Danh sách mặc định</t>
  </si>
  <si>
    <t>Gói = giá trị đã chọn</t>
  </si>
  <si>
    <t>Gói thuộc 1 trong các giá trị (HOẶC)</t>
  </si>
  <si>
    <t>Gói thoả mọi trường (VÀ)</t>
  </si>
  <si>
    <t>Gói thoả từ khoá VÀ bộ lọc</t>
  </si>
  <si>
    <t>"Danh sách trống"</t>
  </si>
  <si>
    <t>TC-135</t>
  </si>
  <si>
    <t>TC-141, TC-142</t>
  </si>
  <si>
    <t>TC-146, TC-176</t>
  </si>
  <si>
    <t>TC-177, TC-178</t>
  </si>
  <si>
    <t>TC-194</t>
  </si>
  <si>
    <t>TC-179</t>
  </si>
  <si>
    <t>3. BẢNG QUYẾT ĐỊNH - Checkbox "Chọn tất cả" trong popup Cài đặt bảng</t>
  </si>
  <si>
    <t>Trạng thái trước</t>
  </si>
  <si>
    <t>Thao tác</t>
  </si>
  <si>
    <t>Kết quả 9 option cột</t>
  </si>
  <si>
    <t>Kết quả "Chọn tất cả"</t>
  </si>
  <si>
    <t>9/9 cột chọn</t>
  </si>
  <si>
    <t>Bỏ tick "Chọn tất cả"</t>
  </si>
  <si>
    <t>Bỏ chọn cả 9</t>
  </si>
  <si>
    <t>Bỏ tick</t>
  </si>
  <si>
    <t>TC-104, TC-116</t>
  </si>
  <si>
    <t>Chọn một phần</t>
  </si>
  <si>
    <t>Tick "Chọn tất cả"</t>
  </si>
  <si>
    <t>Chọn cả 9</t>
  </si>
  <si>
    <t>Tick</t>
  </si>
  <si>
    <t>TC-105</t>
  </si>
  <si>
    <t>Bỏ tick 1 cột</t>
  </si>
  <si>
    <t>8/9 chọn</t>
  </si>
  <si>
    <t>Bỏ tick / chọn một phần</t>
  </si>
  <si>
    <t>TC-106</t>
  </si>
  <si>
    <t>8/9 cột chọn</t>
  </si>
  <si>
    <t>Tick cột còn thiếu</t>
  </si>
  <si>
    <t>9/9 chọn</t>
  </si>
  <si>
    <t>Tự động tick</t>
  </si>
  <si>
    <t>TC-107</t>
  </si>
  <si>
    <t>4. PHÂN TÍCH GIÁ TRỊ BIÊN</t>
  </si>
  <si>
    <t>Ràng buộc</t>
  </si>
  <si>
    <t>Biên dưới</t>
  </si>
  <si>
    <t>Trên biên dưới</t>
  </si>
  <si>
    <t>Dưới biên trên</t>
  </si>
  <si>
    <t>Biên trên</t>
  </si>
  <si>
    <t>Số cột hiển thị (Cài đặt bảng, tối đa 9)</t>
  </si>
  <si>
    <t>0 cột → không cho lưu</t>
  </si>
  <si>
    <t>1 cột</t>
  </si>
  <si>
    <t>8 cột</t>
  </si>
  <si>
    <t>9 cột (mặc định)</t>
  </si>
  <si>
    <t>TC-116, TC-117, TC-109, TC-100</t>
  </si>
  <si>
    <t>Số option chọn trong trường Chu kỳ (tối đa 4)</t>
  </si>
  <si>
    <t>0 → Áp dụng disable</t>
  </si>
  <si>
    <t>2</t>
  </si>
  <si>
    <t>4 → bằng không lọc</t>
  </si>
  <si>
    <t>TC-148, TC-142, TC-146, TC-147</t>
  </si>
  <si>
    <t>Số chip trên trường Trạng thái (tối đa 4, text dài)</t>
  </si>
  <si>
    <t>4 → kiểm tra tràn</t>
  </si>
  <si>
    <t>TC-171</t>
  </si>
  <si>
    <t>Trang sau khi Áp dụng / Xoá lọc</t>
  </si>
  <si>
    <t>Trang 1</t>
  </si>
  <si>
    <t>TC-181, TC-188</t>
  </si>
  <si>
    <t>5. SƠ ĐỒ CHUYỂN TRẠNG THÁI - Popup Cài đặt bảng</t>
  </si>
  <si>
    <t>Trạng thái hiện tại</t>
  </si>
  <si>
    <t>Sự kiện</t>
  </si>
  <si>
    <t>Trạng thái kế tiếp</t>
  </si>
  <si>
    <t>Thay đổi cột trên bảng</t>
  </si>
  <si>
    <t>Đóng</t>
  </si>
  <si>
    <t>Click button Cài đặt bảng</t>
  </si>
  <si>
    <t>Mở (button đỏ)</t>
  </si>
  <si>
    <t>TC-94</t>
  </si>
  <si>
    <t>Mở / Đang chỉnh</t>
  </si>
  <si>
    <t>Click Cập nhật</t>
  </si>
  <si>
    <t>Áp dụng cấu hình</t>
  </si>
  <si>
    <t>TC-109, TC-111</t>
  </si>
  <si>
    <t>Đang chỉnh</t>
  </si>
  <si>
    <t>Click ra ngoài popup</t>
  </si>
  <si>
    <t>Huỷ thay đổi</t>
  </si>
  <si>
    <t>TC-119</t>
  </si>
  <si>
    <t>Nhấn Esc</t>
  </si>
  <si>
    <t>TC-120</t>
  </si>
  <si>
    <t>Click lại button Cài đặt bảng</t>
  </si>
  <si>
    <t>TC-95</t>
  </si>
  <si>
    <t>Click icon Bộ lọc</t>
  </si>
  <si>
    <t>Đóng + mở tab Bộ lọc</t>
  </si>
  <si>
    <t>TC-121</t>
  </si>
  <si>
    <t>Đã cập nhật</t>
  </si>
  <si>
    <t>F5 tải lại trang</t>
  </si>
  <si>
    <t>Giữ cấu hình (BA confirm)</t>
  </si>
  <si>
    <t>TC-122</t>
  </si>
  <si>
    <t>6. SƠ ĐỒ CHUYỂN TRẠNG THÁI - Tab Bộ lọc</t>
  </si>
  <si>
    <t>Danh sách</t>
  </si>
  <si>
    <t>Mở - mặc định (Áp dụng disable)</t>
  </si>
  <si>
    <t>Không đổi</t>
  </si>
  <si>
    <t>TC-130, TC-135</t>
  </si>
  <si>
    <t>Mở - mặc định</t>
  </si>
  <si>
    <t>Chọn ≥ 1 giá trị</t>
  </si>
  <si>
    <t>Đã chọn - chưa áp dụng</t>
  </si>
  <si>
    <t>TC-141, TC-182</t>
  </si>
  <si>
    <t>Click Áp dụng</t>
  </si>
  <si>
    <t>Đã áp dụng</t>
  </si>
  <si>
    <t>Lọc, về trang 1</t>
  </si>
  <si>
    <t>TC-181</t>
  </si>
  <si>
    <t>Bỏ hết giá trị</t>
  </si>
  <si>
    <t>TC-148</t>
  </si>
  <si>
    <t>Click Xoá lọc</t>
  </si>
  <si>
    <t>TC-187</t>
  </si>
  <si>
    <t>Đổi giá trị (chưa Áp dụng)</t>
  </si>
  <si>
    <t>Giữ kết quả cũ</t>
  </si>
  <si>
    <t>TC-183</t>
  </si>
  <si>
    <t>Về danh sách mặc định</t>
  </si>
  <si>
    <t>TC-188</t>
  </si>
  <si>
    <t>Đóng (giữ lọc)</t>
  </si>
  <si>
    <t>Giữ kết quả lọc</t>
  </si>
  <si>
    <t>TC-189</t>
  </si>
  <si>
    <t>Đóng (huỷ giá trị chưa áp dụng)</t>
  </si>
  <si>
    <t>TC-190</t>
  </si>
  <si>
    <t>Bất kỳ</t>
  </si>
  <si>
    <t>Đóng - mặc định</t>
  </si>
  <si>
    <t>TC-191</t>
  </si>
  <si>
    <t>7. ĐIỂM CẦN BA XÁC NHẬN (ảnh màn hình chưa thể hiện / SRS chưa mô tả)</t>
  </si>
  <si>
    <t>#</t>
  </si>
  <si>
    <t>Nội dung</t>
  </si>
  <si>
    <t>TC liên quan</t>
  </si>
  <si>
    <t>Cột Thao tác là cột cố định, không cấu hình ẩn được? Có cho ẩn cột định danh Mã gói?</t>
  </si>
  <si>
    <t>TC-99, TC-113</t>
  </si>
  <si>
    <t>Bỏ chọn tất cả cột: button Cập nhật disable hay báo lỗi?</t>
  </si>
  <si>
    <t>TC-116</t>
  </si>
  <si>
    <t>3</t>
  </si>
  <si>
    <t>Click ra ngoài / Esc / click lại button khi đang chỉnh: huỷ thay đổi?</t>
  </si>
  <si>
    <t>TC-119, TC-120, TC-95</t>
  </si>
  <si>
    <t>4</t>
  </si>
  <si>
    <t>Cấu hình Cài đặt bảng lưu ở đâu (theo tài khoản / trình duyệt / reset khi F5)?</t>
  </si>
  <si>
    <t>5</t>
  </si>
  <si>
    <t>"Kênh phân phối" (Web OA, Miniapp Tammi) khác cột "Kênh bán" (Web OA, Mini app gói cước); "Loại hình gói" có "Nền" nhưng cột Loại hình chỉ Chính/Add-on</t>
  </si>
  <si>
    <t>TC-173, TC-160</t>
  </si>
  <si>
    <t>6</t>
  </si>
  <si>
    <t>Nhiều giá trị trong 1 trường = HOẶC; nhiều trường = VÀ; Kênh phân phối chọn 2 kênh = HOẶC hay VÀ?</t>
  </si>
  <si>
    <t>TC-146, TC-176, TC-177</t>
  </si>
  <si>
    <t>7</t>
  </si>
  <si>
    <t>Sau lọc: loại gói không có gói thoả mãn có bị ẩn? Badge hiển thị tổng số gói hay số gói sau lọc?</t>
  </si>
  <si>
    <t>TC-180</t>
  </si>
  <si>
    <t>8</t>
  </si>
  <si>
    <t>Xoá lọc có tự tải lại danh sách không cần Áp dụng? Có xoá từ khoá ô tìm kiếm không?</t>
  </si>
  <si>
    <t>9</t>
  </si>
  <si>
    <t>Đóng tab Bộ lọc: giữ điều kiện đã áp dụng, huỷ giá trị chưa áp dụng? F5 / chuyển màn có reset lọc?</t>
  </si>
  <si>
    <t>TC-189, TC-190, TC-191</t>
  </si>
  <si>
    <t>10</t>
  </si>
  <si>
    <t>Ô Tìm kiếm trong dropdown: hỗ trợ không dấu? Text khi không có kết quả?</t>
  </si>
  <si>
    <t>TC-155</t>
  </si>
  <si>
    <t>11</t>
  </si>
  <si>
    <t>Chọn 4 chip Trạng thái: xuống dòng hay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</si>
</sst>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2"/>
      <color theme="1"/>
      <name val="Times New Roman"/>
    </font>
    <font>
      <sz val="12"/>
      <color rgb="FF000000"/>
      <name val="Times New Roman"/>
    </font>
    <font>
      <b/>
      <sz val="12"/>
      <color rgb="FF000000"/>
      <name val="Times New Roman"/>
    </font>
    <font>
      <sz val="10"/>
      <color theme="1"/>
      <name val="Arial"/>
      <scheme val="minor"/>
    </font>
    <font>
      <sz val="10"/>
      <color rgb="FF000000"/>
      <name val="Arial"/>
    </font>
    <font>
      <u/>
      <sz val="12"/>
      <color rgb="FF000000"/>
      <name val="Times New Roman"/>
    </font>
    <font>
      <u/>
      <sz val="12"/>
      <color rgb="FF000000"/>
      <name val="Times New Roman"/>
    </font>
    <font>
      <b/>
      <sz val="13"/>
      <name val="Times New Roman"/>
    </font>
    <font>
      <b/>
      <sz val="12"/>
      <name val="Times New Roman"/>
    </font>
    <font>
      <sz val="12"/>
      <name val="Times New Roman"/>
    </font>
  </fonts>
  <fills count="8">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4A86E8"/>
        <bgColor rgb="FF4A86E8"/>
      </patternFill>
    </fill>
    <fill>
      <patternFill patternType="solid">
        <fgColor rgb="FFFFFF00"/>
        <bgColor rgb="FFFFFF00"/>
      </patternFill>
    </fill>
    <fill>
      <patternFill patternType="solid">
        <fgColor rgb="FFFFF2CC"/>
      </patternFill>
    </fill>
    <fill>
      <patternFill patternType="solid">
        <fgColor rgb="FFD8D8D8"/>
      </patternFill>
    </fill>
  </fills>
  <borders count="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52">
    <xf numFmtId="0" fontId="0" fillId="0" borderId="0" xfId="0"/>
    <xf numFmtId="0" fontId="1" fillId="0" borderId="2" xfId="0" applyFont="1" applyBorder="1" applyAlignment="1">
      <alignment vertical="center"/>
    </xf>
    <xf numFmtId="0" fontId="4" fillId="0" borderId="0" xfId="0" applyFont="1" applyAlignment="1">
      <alignment wrapText="1"/>
    </xf>
    <xf numFmtId="0" fontId="2" fillId="2" borderId="3" xfId="0" applyFont="1" applyFill="1" applyBorder="1" applyAlignment="1">
      <alignment horizontal="left" vertical="top" wrapText="1"/>
    </xf>
    <xf numFmtId="0" fontId="2" fillId="2" borderId="0" xfId="0" applyFont="1" applyFill="1" applyAlignment="1">
      <alignment vertical="top" wrapText="1"/>
    </xf>
    <xf numFmtId="0" fontId="2" fillId="0" borderId="2" xfId="0" applyFont="1" applyBorder="1" applyAlignment="1">
      <alignment horizontal="left" vertical="top" wrapText="1"/>
    </xf>
    <xf numFmtId="0" fontId="3" fillId="2" borderId="2"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vertical="top" wrapText="1"/>
    </xf>
    <xf numFmtId="0" fontId="3" fillId="2" borderId="2" xfId="0" applyFont="1" applyFill="1" applyBorder="1" applyAlignment="1">
      <alignment horizontal="center" vertical="center" wrapText="1"/>
    </xf>
    <xf numFmtId="0" fontId="2" fillId="2" borderId="2" xfId="0" applyFont="1" applyFill="1" applyBorder="1" applyAlignment="1">
      <alignment horizontal="right" vertical="center" wrapText="1"/>
    </xf>
    <xf numFmtId="0" fontId="3" fillId="0" borderId="1" xfId="0" applyFont="1" applyBorder="1" applyAlignment="1">
      <alignment horizontal="center" vertical="top" wrapText="1"/>
    </xf>
    <xf numFmtId="0" fontId="2" fillId="2" borderId="2" xfId="0" applyFont="1" applyFill="1" applyBorder="1" applyAlignment="1">
      <alignment horizontal="center" vertical="center" wrapText="1"/>
    </xf>
    <xf numFmtId="0" fontId="2" fillId="4" borderId="2" xfId="0" applyFont="1" applyFill="1" applyBorder="1" applyAlignment="1">
      <alignment vertical="top" wrapText="1"/>
    </xf>
    <xf numFmtId="0" fontId="5" fillId="0" borderId="0" xfId="0" applyFont="1" applyAlignment="1">
      <alignment wrapText="1"/>
    </xf>
    <xf numFmtId="0" fontId="2" fillId="0" borderId="2" xfId="0" applyFont="1" applyBorder="1" applyAlignment="1">
      <alignment vertical="top" wrapText="1"/>
    </xf>
    <xf numFmtId="0" fontId="2" fillId="0" borderId="2" xfId="0" applyFont="1" applyBorder="1" applyAlignment="1">
      <alignment vertical="center" wrapText="1"/>
    </xf>
    <xf numFmtId="0" fontId="2" fillId="5" borderId="2" xfId="0" applyFont="1" applyFill="1" applyBorder="1" applyAlignment="1">
      <alignment horizontal="left" vertical="top" wrapText="1"/>
    </xf>
    <xf numFmtId="0" fontId="1" fillId="2" borderId="2" xfId="0" applyFont="1" applyFill="1" applyBorder="1" applyAlignment="1">
      <alignment vertical="center"/>
    </xf>
    <xf numFmtId="0" fontId="2" fillId="0" borderId="2" xfId="0" applyFont="1" applyBorder="1" applyAlignment="1">
      <alignment horizontal="center" vertical="top" wrapText="1"/>
    </xf>
    <xf numFmtId="0" fontId="2" fillId="5" borderId="2" xfId="0" applyFont="1" applyFill="1" applyBorder="1" applyAlignment="1">
      <alignment vertical="top" wrapText="1"/>
    </xf>
    <xf numFmtId="0" fontId="2" fillId="5" borderId="2" xfId="0" quotePrefix="1" applyFont="1" applyFill="1" applyBorder="1" applyAlignment="1">
      <alignment vertical="top" wrapText="1"/>
    </xf>
    <xf numFmtId="0" fontId="2" fillId="6" borderId="2" xfId="0" applyFont="1" applyFill="1" applyBorder="1" applyAlignment="1">
      <alignment vertical="top" wrapText="1"/>
    </xf>
    <xf numFmtId="0" fontId="2" fillId="6" borderId="2" xfId="0" applyFont="1" applyFill="1" applyBorder="1" applyAlignment="1">
      <alignment vertical="center" wrapText="1"/>
    </xf>
    <xf numFmtId="0" fontId="0" fillId="6" borderId="7" xfId="0" applyFill="1" applyBorder="1"/>
    <xf numFmtId="0" fontId="2" fillId="6" borderId="2" xfId="0" applyFont="1" applyFill="1" applyBorder="1" applyAlignment="1">
      <alignment horizontal="left" vertical="top" wrapText="1"/>
    </xf>
    <xf numFmtId="0" fontId="1" fillId="6" borderId="2" xfId="0" applyFont="1" applyFill="1" applyBorder="1" applyAlignment="1">
      <alignment vertical="center"/>
    </xf>
    <xf numFmtId="0" fontId="8" fillId="0" borderId="0" xfId="0" applyFont="1"/>
    <xf numFmtId="0" fontId="9" fillId="7" borderId="8" xfId="0" applyFont="1" applyFill="1" applyBorder="1" applyAlignment="1">
      <alignment horizontal="center" vertical="center" wrapText="1"/>
    </xf>
    <xf numFmtId="0" fontId="10" fillId="0" borderId="8" xfId="0" applyFont="1" applyBorder="1" applyAlignment="1">
      <alignment horizontal="left" vertical="center" wrapText="1"/>
    </xf>
    <xf numFmtId="0" fontId="0" fillId="6" borderId="7" xfId="0" applyFill="1" applyBorder="1"/>
    <xf numFmtId="0" fontId="0" fillId="0" borderId="6" xfId="0" applyBorder="1"/>
    <xf numFmtId="0" fontId="0" fillId="0" borderId="7" xfId="0" applyBorder="1"/>
    <xf numFmtId="0" fontId="3" fillId="0" borderId="2" xfId="0" applyFont="1" applyBorder="1" applyAlignment="1">
      <alignment vertical="top" wrapText="1"/>
    </xf>
    <xf numFmtId="0" fontId="0" fillId="0" borderId="4" xfId="0" applyBorder="1"/>
    <xf numFmtId="0" fontId="0" fillId="0" borderId="5" xfId="0" applyBorder="1"/>
    <xf numFmtId="0" fontId="2" fillId="0" borderId="2" xfId="0" applyFont="1" applyBorder="1" applyAlignment="1">
      <alignment horizontal="left" vertical="top" wrapText="1"/>
    </xf>
    <xf numFmtId="0" fontId="2" fillId="0" borderId="2" xfId="0" applyFont="1" applyBorder="1" applyAlignment="1">
      <alignment vertical="top" wrapText="1"/>
    </xf>
    <xf numFmtId="0" fontId="3" fillId="2" borderId="2" xfId="0" applyFont="1" applyFill="1" applyBorder="1" applyAlignment="1">
      <alignment horizontal="left" vertical="top" wrapText="1"/>
    </xf>
    <xf numFmtId="0" fontId="3" fillId="0" borderId="2" xfId="0" applyFont="1" applyBorder="1" applyAlignment="1">
      <alignment horizontal="left" vertical="top" wrapText="1"/>
    </xf>
    <xf numFmtId="0" fontId="3" fillId="3" borderId="2" xfId="0" applyFont="1" applyFill="1" applyBorder="1" applyAlignment="1">
      <alignment horizontal="center" vertical="top" wrapText="1"/>
    </xf>
    <xf numFmtId="0" fontId="3" fillId="6"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3" fillId="3" borderId="7" xfId="0" applyFont="1" applyFill="1" applyBorder="1" applyAlignment="1">
      <alignment horizontal="center" vertical="top" wrapText="1"/>
    </xf>
    <xf numFmtId="0" fontId="3" fillId="2" borderId="2" xfId="0" applyFont="1" applyFill="1" applyBorder="1" applyAlignment="1">
      <alignment horizontal="left" vertical="center" wrapText="1"/>
    </xf>
    <xf numFmtId="0" fontId="6" fillId="2" borderId="2" xfId="0" applyFont="1" applyFill="1" applyBorder="1" applyAlignment="1">
      <alignment horizontal="left" vertical="top" wrapText="1"/>
    </xf>
    <xf numFmtId="0" fontId="2" fillId="0" borderId="3" xfId="0" applyFont="1" applyBorder="1" applyAlignment="1">
      <alignment horizontal="left" vertical="top" wrapText="1"/>
    </xf>
    <xf numFmtId="0" fontId="0" fillId="0" borderId="3" xfId="0" applyBorder="1"/>
    <xf numFmtId="0" fontId="7" fillId="2" borderId="2" xfId="0" applyFont="1" applyFill="1" applyBorder="1" applyAlignment="1">
      <alignment vertical="top" wrapText="1"/>
    </xf>
    <xf numFmtId="0" fontId="7" fillId="6" borderId="2" xfId="0" applyFont="1" applyFill="1" applyBorder="1" applyAlignment="1">
      <alignment horizontal="left" vertical="top" wrapText="1"/>
    </xf>
    <xf numFmtId="0" fontId="3" fillId="2" borderId="5" xfId="0" applyFont="1" applyFill="1" applyBorder="1" applyAlignment="1">
      <alignment horizontal="center" vertical="top" wrapText="1"/>
    </xf>
    <xf numFmtId="0" fontId="3"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121"/>
  <sheetViews>
    <sheetView tabSelected="1" topLeftCell="A90" workbookViewId="0">
      <selection sqref="A1:B1"/>
    </sheetView>
  </sheetViews>
  <sheetFormatPr defaultColWidth="12.5703125" defaultRowHeight="15.75" customHeight="1" x14ac:dyDescent="0.2"/>
  <cols>
    <col min="2" max="2" width="23.85546875" customWidth="1"/>
    <col min="3" max="3" width="38.28515625" customWidth="1"/>
    <col min="4" max="4" width="41.42578125" customWidth="1"/>
    <col min="5" max="5" width="49.42578125" customWidth="1"/>
    <col min="6" max="6" width="17" customWidth="1"/>
    <col min="7" max="7" width="37.28515625" customWidth="1"/>
  </cols>
  <sheetData>
    <row r="1" spans="1:24" x14ac:dyDescent="0.2">
      <c r="A1" s="46"/>
      <c r="B1" s="47"/>
      <c r="C1" s="50" t="s">
        <v>0</v>
      </c>
      <c r="D1" s="34"/>
      <c r="E1" s="34"/>
      <c r="F1" s="34"/>
      <c r="G1" s="35"/>
      <c r="H1" s="2"/>
      <c r="I1" s="2"/>
      <c r="J1" s="2"/>
      <c r="K1" s="2"/>
      <c r="L1" s="2"/>
      <c r="M1" s="2"/>
      <c r="N1" s="2"/>
      <c r="O1" s="2"/>
      <c r="P1" s="2"/>
      <c r="Q1" s="2"/>
      <c r="R1" s="2"/>
      <c r="S1" s="2"/>
      <c r="T1" s="2"/>
      <c r="U1" s="2"/>
      <c r="V1" s="2"/>
      <c r="W1" s="2"/>
      <c r="X1" s="2"/>
    </row>
    <row r="2" spans="1:24" x14ac:dyDescent="0.2">
      <c r="A2" s="38" t="s">
        <v>1</v>
      </c>
      <c r="B2" s="35"/>
      <c r="C2" s="3" t="s">
        <v>2</v>
      </c>
      <c r="D2" s="4"/>
      <c r="E2" s="4"/>
      <c r="F2" s="4"/>
      <c r="G2" s="4"/>
      <c r="H2" s="2"/>
      <c r="I2" s="2"/>
      <c r="J2" s="2"/>
      <c r="K2" s="2"/>
      <c r="L2" s="2"/>
      <c r="M2" s="2"/>
      <c r="N2" s="2"/>
      <c r="O2" s="2"/>
      <c r="P2" s="2"/>
      <c r="Q2" s="2"/>
      <c r="R2" s="2"/>
      <c r="S2" s="2"/>
      <c r="T2" s="2"/>
      <c r="U2" s="2"/>
      <c r="V2" s="2"/>
      <c r="W2" s="2"/>
      <c r="X2" s="2"/>
    </row>
    <row r="3" spans="1:24" x14ac:dyDescent="0.2">
      <c r="A3" s="38" t="s">
        <v>3</v>
      </c>
      <c r="B3" s="35"/>
      <c r="C3" s="5"/>
      <c r="D3" s="4"/>
      <c r="E3" s="4"/>
      <c r="F3" s="4"/>
      <c r="G3" s="4"/>
      <c r="H3" s="2"/>
      <c r="I3" s="2"/>
      <c r="J3" s="2"/>
      <c r="K3" s="2"/>
      <c r="L3" s="2"/>
      <c r="M3" s="2"/>
      <c r="N3" s="2"/>
      <c r="O3" s="2"/>
      <c r="P3" s="2"/>
      <c r="Q3" s="2"/>
      <c r="R3" s="2"/>
      <c r="S3" s="2"/>
      <c r="T3" s="2"/>
      <c r="U3" s="2"/>
      <c r="V3" s="2"/>
      <c r="W3" s="2"/>
      <c r="X3" s="2"/>
    </row>
    <row r="4" spans="1:24" x14ac:dyDescent="0.2">
      <c r="A4" s="6" t="s">
        <v>4</v>
      </c>
      <c r="B4" s="6"/>
      <c r="C4" s="7" t="s">
        <v>5</v>
      </c>
      <c r="D4" s="4"/>
      <c r="E4" s="4"/>
      <c r="F4" s="4"/>
      <c r="G4" s="4"/>
      <c r="H4" s="2"/>
      <c r="I4" s="2"/>
      <c r="J4" s="2"/>
      <c r="K4" s="2"/>
      <c r="L4" s="2"/>
      <c r="M4" s="2"/>
      <c r="N4" s="2"/>
      <c r="O4" s="2"/>
      <c r="P4" s="2"/>
      <c r="Q4" s="2"/>
      <c r="R4" s="2"/>
      <c r="S4" s="2"/>
      <c r="T4" s="2"/>
      <c r="U4" s="2"/>
      <c r="V4" s="2"/>
      <c r="W4" s="2"/>
      <c r="X4" s="2"/>
    </row>
    <row r="5" spans="1:24" x14ac:dyDescent="0.2">
      <c r="A5" s="38" t="s">
        <v>6</v>
      </c>
      <c r="B5" s="35"/>
      <c r="C5" s="8"/>
      <c r="D5" s="4"/>
      <c r="E5" s="4"/>
      <c r="F5" s="4"/>
      <c r="G5" s="4"/>
      <c r="H5" s="2"/>
      <c r="I5" s="2"/>
      <c r="J5" s="2"/>
      <c r="K5" s="2"/>
      <c r="L5" s="2"/>
      <c r="M5" s="2"/>
      <c r="N5" s="2"/>
      <c r="O5" s="2"/>
      <c r="P5" s="2"/>
      <c r="Q5" s="2"/>
      <c r="R5" s="2"/>
      <c r="S5" s="2"/>
      <c r="T5" s="2"/>
      <c r="U5" s="2"/>
      <c r="V5" s="2"/>
      <c r="W5" s="2"/>
      <c r="X5" s="2"/>
    </row>
    <row r="6" spans="1:24" x14ac:dyDescent="0.2">
      <c r="A6" s="38" t="s">
        <v>7</v>
      </c>
      <c r="B6" s="35"/>
      <c r="C6" s="9">
        <f>COUNTA(E15:E998)</f>
        <v>498</v>
      </c>
      <c r="D6" s="4"/>
      <c r="E6" s="4"/>
      <c r="F6" s="4"/>
      <c r="G6" s="4"/>
      <c r="H6" s="2"/>
      <c r="I6" s="2"/>
      <c r="J6" s="2"/>
      <c r="K6" s="2"/>
      <c r="L6" s="2"/>
      <c r="M6" s="2"/>
      <c r="N6" s="2"/>
      <c r="O6" s="2"/>
      <c r="P6" s="2"/>
      <c r="Q6" s="2"/>
      <c r="R6" s="2"/>
      <c r="S6" s="2"/>
      <c r="T6" s="2"/>
      <c r="U6" s="2"/>
      <c r="V6" s="2"/>
      <c r="W6" s="2"/>
      <c r="X6" s="2"/>
    </row>
    <row r="7" spans="1:24" x14ac:dyDescent="0.2">
      <c r="A7" s="38" t="s">
        <v>8</v>
      </c>
      <c r="B7" s="35"/>
      <c r="C7" s="10">
        <f>COUNTIF(F12:F998,"Pass")</f>
        <v>174</v>
      </c>
      <c r="D7" s="11"/>
      <c r="E7" s="11"/>
      <c r="F7" s="11"/>
      <c r="G7" s="11"/>
      <c r="H7" s="2"/>
      <c r="I7" s="2"/>
      <c r="J7" s="2"/>
      <c r="K7" s="2"/>
      <c r="L7" s="2"/>
      <c r="M7" s="2"/>
      <c r="N7" s="2"/>
      <c r="O7" s="2"/>
      <c r="P7" s="2"/>
      <c r="Q7" s="2"/>
      <c r="R7" s="2"/>
      <c r="S7" s="2"/>
      <c r="T7" s="2"/>
      <c r="U7" s="2"/>
      <c r="V7" s="2"/>
      <c r="W7" s="2"/>
      <c r="X7" s="2"/>
    </row>
    <row r="8" spans="1:24" x14ac:dyDescent="0.2">
      <c r="A8" s="38" t="s">
        <v>9</v>
      </c>
      <c r="B8" s="35"/>
      <c r="C8" s="10">
        <f>COUNTIF(F13:F999,Fail)</f>
        <v>0</v>
      </c>
      <c r="D8" s="11"/>
      <c r="E8" s="11"/>
      <c r="F8" s="11"/>
      <c r="G8" s="11"/>
      <c r="H8" s="2"/>
      <c r="I8" s="2"/>
      <c r="J8" s="2"/>
      <c r="K8" s="2"/>
      <c r="L8" s="2"/>
      <c r="M8" s="2"/>
      <c r="N8" s="2"/>
      <c r="O8" s="2"/>
      <c r="P8" s="2"/>
      <c r="Q8" s="2"/>
      <c r="R8" s="2"/>
      <c r="S8" s="2"/>
      <c r="T8" s="2"/>
      <c r="U8" s="2"/>
      <c r="V8" s="2"/>
      <c r="W8" s="2"/>
      <c r="X8" s="2"/>
    </row>
    <row r="9" spans="1:24" x14ac:dyDescent="0.2">
      <c r="A9" s="38" t="s">
        <v>10</v>
      </c>
      <c r="B9" s="35"/>
      <c r="C9" s="10"/>
      <c r="D9" s="11"/>
      <c r="E9" s="11"/>
      <c r="F9" s="11"/>
      <c r="G9" s="11"/>
      <c r="H9" s="2"/>
      <c r="I9" s="2"/>
      <c r="J9" s="2"/>
      <c r="K9" s="2"/>
      <c r="L9" s="2"/>
      <c r="M9" s="2"/>
      <c r="N9" s="2"/>
      <c r="O9" s="2"/>
      <c r="P9" s="2"/>
      <c r="Q9" s="2"/>
      <c r="R9" s="2"/>
      <c r="S9" s="2"/>
      <c r="T9" s="2"/>
      <c r="U9" s="2"/>
      <c r="V9" s="2"/>
      <c r="W9" s="2"/>
      <c r="X9" s="2"/>
    </row>
    <row r="10" spans="1:24" x14ac:dyDescent="0.2">
      <c r="A10" s="44" t="s">
        <v>11</v>
      </c>
      <c r="B10" s="35"/>
      <c r="C10" s="12"/>
      <c r="D10" s="11"/>
      <c r="E10" s="11"/>
      <c r="F10" s="11"/>
      <c r="G10" s="11"/>
      <c r="H10" s="2"/>
      <c r="I10" s="2"/>
      <c r="J10" s="2"/>
      <c r="K10" s="2"/>
      <c r="L10" s="2"/>
      <c r="M10" s="2"/>
      <c r="N10" s="2"/>
      <c r="O10" s="2"/>
      <c r="P10" s="2"/>
      <c r="Q10" s="2"/>
      <c r="R10" s="2"/>
      <c r="S10" s="2"/>
      <c r="T10" s="2"/>
      <c r="U10" s="2"/>
      <c r="V10" s="2"/>
      <c r="W10" s="2"/>
      <c r="X10" s="2"/>
    </row>
    <row r="11" spans="1:24" ht="12.75" x14ac:dyDescent="0.2">
      <c r="A11" s="40" t="s">
        <v>4</v>
      </c>
      <c r="B11" s="40" t="s">
        <v>1</v>
      </c>
      <c r="C11" s="40" t="s">
        <v>12</v>
      </c>
      <c r="D11" s="40" t="s">
        <v>13</v>
      </c>
      <c r="E11" s="40" t="s">
        <v>14</v>
      </c>
      <c r="F11" s="43" t="s">
        <v>15</v>
      </c>
      <c r="G11" s="43" t="s">
        <v>16</v>
      </c>
      <c r="H11" s="2"/>
      <c r="I11" s="2"/>
      <c r="J11" s="2"/>
      <c r="K11" s="2"/>
      <c r="L11" s="2"/>
      <c r="M11" s="2"/>
      <c r="N11" s="2"/>
      <c r="O11" s="2"/>
      <c r="P11" s="2"/>
      <c r="Q11" s="2"/>
      <c r="R11" s="2"/>
      <c r="S11" s="2"/>
      <c r="T11" s="2"/>
      <c r="U11" s="2"/>
      <c r="V11" s="2"/>
      <c r="W11" s="2"/>
      <c r="X11" s="2"/>
    </row>
    <row r="12" spans="1:24" ht="12.75" x14ac:dyDescent="0.2">
      <c r="A12" s="32"/>
      <c r="B12" s="32"/>
      <c r="C12" s="32"/>
      <c r="D12" s="32"/>
      <c r="E12" s="32"/>
      <c r="F12" s="32"/>
      <c r="G12" s="32"/>
      <c r="H12" s="2"/>
      <c r="I12" s="2"/>
      <c r="J12" s="2"/>
      <c r="K12" s="2"/>
      <c r="L12" s="2"/>
      <c r="M12" s="2"/>
      <c r="N12" s="2"/>
      <c r="O12" s="2"/>
      <c r="P12" s="2"/>
      <c r="Q12" s="2"/>
      <c r="R12" s="2"/>
      <c r="S12" s="2"/>
      <c r="T12" s="2"/>
      <c r="U12" s="2"/>
      <c r="V12" s="2"/>
      <c r="W12" s="2"/>
      <c r="X12" s="2"/>
    </row>
    <row r="13" spans="1:24" x14ac:dyDescent="0.2">
      <c r="A13" s="42" t="s">
        <v>17</v>
      </c>
      <c r="B13" s="34"/>
      <c r="C13" s="35"/>
      <c r="D13" s="13"/>
      <c r="E13" s="13"/>
      <c r="F13" s="13"/>
      <c r="G13" s="13"/>
      <c r="H13" s="14"/>
      <c r="I13" s="14"/>
      <c r="J13" s="14"/>
      <c r="K13" s="14"/>
      <c r="L13" s="14"/>
      <c r="M13" s="14"/>
      <c r="N13" s="14"/>
      <c r="O13" s="14"/>
      <c r="P13" s="14"/>
      <c r="Q13" s="14"/>
      <c r="R13" s="14"/>
      <c r="S13" s="14"/>
      <c r="T13" s="14"/>
      <c r="U13" s="14"/>
      <c r="V13" s="14"/>
      <c r="W13" s="2"/>
      <c r="X13" s="2"/>
    </row>
    <row r="14" spans="1:24" ht="12.75" x14ac:dyDescent="0.2">
      <c r="A14" s="45" t="s">
        <v>18</v>
      </c>
      <c r="B14" s="34"/>
      <c r="C14" s="34"/>
      <c r="D14" s="34"/>
      <c r="E14" s="34"/>
      <c r="F14" s="34"/>
      <c r="G14" s="35"/>
      <c r="H14" s="14"/>
      <c r="I14" s="14"/>
      <c r="J14" s="14"/>
      <c r="K14" s="14"/>
      <c r="L14" s="14"/>
      <c r="M14" s="14"/>
      <c r="N14" s="14"/>
      <c r="O14" s="14"/>
      <c r="P14" s="14"/>
      <c r="Q14" s="14"/>
      <c r="R14" s="14"/>
      <c r="S14" s="14"/>
      <c r="T14" s="14"/>
      <c r="U14" s="14"/>
      <c r="V14" s="14"/>
      <c r="W14" s="2"/>
      <c r="X14" s="2"/>
    </row>
    <row r="15" spans="1:24" x14ac:dyDescent="0.2">
      <c r="A15" s="39" t="s">
        <v>19</v>
      </c>
      <c r="B15" s="34"/>
      <c r="C15" s="34"/>
      <c r="D15" s="34"/>
      <c r="E15" s="34"/>
      <c r="F15" s="35"/>
      <c r="G15" s="15"/>
      <c r="H15" s="14"/>
      <c r="I15" s="14"/>
      <c r="J15" s="14"/>
      <c r="K15" s="14"/>
      <c r="L15" s="14"/>
      <c r="M15" s="14"/>
      <c r="N15" s="14"/>
      <c r="O15" s="14"/>
      <c r="P15" s="14"/>
      <c r="Q15" s="14"/>
      <c r="R15" s="14"/>
      <c r="S15" s="14"/>
      <c r="T15" s="14"/>
      <c r="U15" s="14"/>
      <c r="V15" s="14"/>
      <c r="W15" s="2"/>
      <c r="X15" s="2"/>
    </row>
    <row r="16" spans="1:24" ht="126" x14ac:dyDescent="0.2">
      <c r="A16" s="16" t="str">
        <f>$C$4&amp;"-"&amp;TEXT(COUNTA($E$15:E16),"00")</f>
        <v>TC-01</v>
      </c>
      <c r="B16" s="36" t="s">
        <v>20</v>
      </c>
      <c r="C16" s="5" t="s">
        <v>21</v>
      </c>
      <c r="D16" s="5" t="s">
        <v>22</v>
      </c>
      <c r="E16" s="5" t="s">
        <v>23</v>
      </c>
      <c r="F16" s="1" t="s">
        <v>24</v>
      </c>
      <c r="G16" s="5"/>
      <c r="H16" s="14"/>
      <c r="I16" s="14"/>
      <c r="J16" s="14"/>
      <c r="K16" s="14"/>
      <c r="L16" s="14"/>
      <c r="M16" s="14"/>
      <c r="N16" s="14"/>
      <c r="O16" s="14"/>
      <c r="P16" s="14"/>
      <c r="Q16" s="14"/>
      <c r="R16" s="14"/>
      <c r="S16" s="14"/>
      <c r="T16" s="14"/>
      <c r="U16" s="14"/>
      <c r="V16" s="14"/>
      <c r="W16" s="2"/>
      <c r="X16" s="2"/>
    </row>
    <row r="17" spans="1:24" ht="110.25" x14ac:dyDescent="0.2">
      <c r="A17" s="16" t="str">
        <f>$C$4&amp;"-"&amp;TEXT(COUNTA($E$15:E17),"00")</f>
        <v>TC-02</v>
      </c>
      <c r="B17" s="31"/>
      <c r="C17" s="5" t="s">
        <v>25</v>
      </c>
      <c r="D17" s="5" t="s">
        <v>26</v>
      </c>
      <c r="E17" s="5" t="s">
        <v>27</v>
      </c>
      <c r="F17" s="1" t="s">
        <v>24</v>
      </c>
      <c r="G17" s="15"/>
      <c r="H17" s="14"/>
      <c r="I17" s="14"/>
      <c r="J17" s="14"/>
      <c r="K17" s="14"/>
      <c r="L17" s="14"/>
      <c r="M17" s="14"/>
      <c r="N17" s="14"/>
      <c r="O17" s="14"/>
      <c r="P17" s="14"/>
      <c r="Q17" s="14"/>
      <c r="R17" s="14"/>
      <c r="S17" s="14"/>
      <c r="T17" s="14"/>
      <c r="U17" s="14"/>
      <c r="V17" s="14"/>
      <c r="W17" s="2"/>
      <c r="X17" s="2"/>
    </row>
    <row r="18" spans="1:24" ht="31.5" x14ac:dyDescent="0.2">
      <c r="A18" s="16" t="str">
        <f>$C$4&amp;"-"&amp;TEXT(COUNTA($E$15:E18),"00")</f>
        <v>TC-03</v>
      </c>
      <c r="B18" s="31"/>
      <c r="C18" s="5" t="s">
        <v>28</v>
      </c>
      <c r="D18" s="5" t="s">
        <v>29</v>
      </c>
      <c r="E18" s="5" t="s">
        <v>30</v>
      </c>
      <c r="F18" s="1" t="s">
        <v>24</v>
      </c>
      <c r="G18" s="15"/>
      <c r="H18" s="14"/>
      <c r="I18" s="14"/>
      <c r="J18" s="14"/>
      <c r="K18" s="14"/>
      <c r="L18" s="14"/>
      <c r="M18" s="14"/>
      <c r="N18" s="14"/>
      <c r="O18" s="14"/>
      <c r="P18" s="14"/>
      <c r="Q18" s="14"/>
      <c r="R18" s="14"/>
      <c r="S18" s="14"/>
      <c r="T18" s="14"/>
      <c r="U18" s="14"/>
      <c r="V18" s="14"/>
      <c r="W18" s="2"/>
      <c r="X18" s="2"/>
    </row>
    <row r="19" spans="1:24" ht="31.5" x14ac:dyDescent="0.2">
      <c r="A19" s="16" t="str">
        <f>$C$4&amp;"-"&amp;TEXT(COUNTA($E$15:E19),"00")</f>
        <v>TC-04</v>
      </c>
      <c r="B19" s="31"/>
      <c r="C19" s="5" t="s">
        <v>31</v>
      </c>
      <c r="D19" s="5" t="s">
        <v>32</v>
      </c>
      <c r="E19" s="5" t="s">
        <v>33</v>
      </c>
      <c r="F19" s="1" t="s">
        <v>24</v>
      </c>
      <c r="G19" s="15"/>
      <c r="H19" s="14"/>
      <c r="I19" s="14"/>
      <c r="J19" s="14"/>
      <c r="K19" s="14"/>
      <c r="L19" s="14"/>
      <c r="M19" s="14"/>
      <c r="N19" s="14"/>
      <c r="O19" s="14"/>
      <c r="P19" s="14"/>
      <c r="Q19" s="14"/>
      <c r="R19" s="14"/>
      <c r="S19" s="14"/>
      <c r="T19" s="14"/>
      <c r="U19" s="14"/>
      <c r="V19" s="14"/>
      <c r="W19" s="2"/>
      <c r="X19" s="2"/>
    </row>
    <row r="20" spans="1:24" ht="47.25" x14ac:dyDescent="0.2">
      <c r="A20" s="16" t="str">
        <f>$C$4&amp;"-"&amp;TEXT(COUNTA($E$15:E20),"00")</f>
        <v>TC-05</v>
      </c>
      <c r="B20" s="31"/>
      <c r="C20" s="5" t="s">
        <v>34</v>
      </c>
      <c r="D20" s="5" t="s">
        <v>35</v>
      </c>
      <c r="E20" s="5" t="s">
        <v>36</v>
      </c>
      <c r="F20" s="1" t="s">
        <v>24</v>
      </c>
      <c r="G20" s="15"/>
      <c r="H20" s="14"/>
      <c r="I20" s="14"/>
      <c r="J20" s="14"/>
      <c r="K20" s="14"/>
      <c r="L20" s="14"/>
      <c r="M20" s="14"/>
      <c r="N20" s="14"/>
      <c r="O20" s="14"/>
      <c r="P20" s="14"/>
      <c r="Q20" s="14"/>
      <c r="R20" s="14"/>
      <c r="S20" s="14"/>
      <c r="T20" s="14"/>
      <c r="U20" s="14"/>
      <c r="V20" s="14"/>
      <c r="W20" s="2"/>
      <c r="X20" s="2"/>
    </row>
    <row r="21" spans="1:24" ht="47.25" x14ac:dyDescent="0.2">
      <c r="A21" s="16" t="str">
        <f>$C$4&amp;"-"&amp;TEXT(COUNTA($E$15:E21),"00")</f>
        <v>TC-06</v>
      </c>
      <c r="B21" s="32"/>
      <c r="C21" s="5" t="s">
        <v>37</v>
      </c>
      <c r="D21" s="5" t="s">
        <v>38</v>
      </c>
      <c r="E21" s="5" t="s">
        <v>39</v>
      </c>
      <c r="F21" s="1" t="s">
        <v>24</v>
      </c>
      <c r="G21" s="5"/>
      <c r="H21" s="14"/>
      <c r="I21" s="14"/>
      <c r="J21" s="14"/>
      <c r="K21" s="14"/>
      <c r="L21" s="14"/>
      <c r="M21" s="14"/>
      <c r="N21" s="14"/>
      <c r="O21" s="14"/>
      <c r="P21" s="14"/>
      <c r="Q21" s="14"/>
      <c r="R21" s="14"/>
      <c r="S21" s="14"/>
      <c r="T21" s="14"/>
      <c r="U21" s="14"/>
      <c r="V21" s="14"/>
      <c r="W21" s="2"/>
      <c r="X21" s="2"/>
    </row>
    <row r="22" spans="1:24" x14ac:dyDescent="0.2">
      <c r="A22" s="39" t="s">
        <v>40</v>
      </c>
      <c r="B22" s="34"/>
      <c r="C22" s="34"/>
      <c r="D22" s="34"/>
      <c r="E22" s="34"/>
      <c r="F22" s="35"/>
      <c r="G22" s="15"/>
      <c r="H22" s="14"/>
      <c r="I22" s="14"/>
      <c r="J22" s="14"/>
      <c r="K22" s="14"/>
      <c r="L22" s="14"/>
      <c r="M22" s="14"/>
      <c r="N22" s="14"/>
      <c r="O22" s="14"/>
      <c r="P22" s="14"/>
      <c r="Q22" s="14"/>
      <c r="R22" s="14"/>
      <c r="S22" s="14"/>
      <c r="T22" s="14"/>
      <c r="U22" s="14"/>
      <c r="V22" s="14"/>
      <c r="W22" s="2"/>
      <c r="X22" s="2"/>
    </row>
    <row r="23" spans="1:24" x14ac:dyDescent="0.2">
      <c r="A23" s="16" t="str">
        <f>$C$4&amp;"-"&amp;TEXT(COUNTA($E$15:E23),"00")</f>
        <v>TC-07</v>
      </c>
      <c r="B23" s="5" t="s">
        <v>41</v>
      </c>
      <c r="C23" s="5" t="s">
        <v>42</v>
      </c>
      <c r="D23" s="5" t="s">
        <v>43</v>
      </c>
      <c r="E23" s="5" t="s">
        <v>44</v>
      </c>
      <c r="F23" s="1" t="s">
        <v>24</v>
      </c>
      <c r="G23" s="5"/>
      <c r="H23" s="14"/>
      <c r="I23" s="14"/>
      <c r="J23" s="14"/>
      <c r="K23" s="14"/>
      <c r="L23" s="14"/>
      <c r="M23" s="14"/>
      <c r="N23" s="14"/>
      <c r="O23" s="14"/>
      <c r="P23" s="14"/>
      <c r="Q23" s="14"/>
      <c r="R23" s="14"/>
      <c r="S23" s="14"/>
      <c r="T23" s="14"/>
      <c r="U23" s="14"/>
      <c r="V23" s="14"/>
      <c r="W23" s="2"/>
      <c r="X23" s="2"/>
    </row>
    <row r="24" spans="1:24" ht="31.5" x14ac:dyDescent="0.2">
      <c r="A24" s="16" t="str">
        <f>$C$4&amp;"-"&amp;TEXT(COUNTA($E$15:E24),"00")</f>
        <v>TC-08</v>
      </c>
      <c r="B24" s="36" t="s">
        <v>45</v>
      </c>
      <c r="C24" s="5" t="s">
        <v>46</v>
      </c>
      <c r="D24" s="5" t="s">
        <v>47</v>
      </c>
      <c r="E24" s="5" t="s">
        <v>48</v>
      </c>
      <c r="F24" s="1" t="s">
        <v>24</v>
      </c>
      <c r="G24" s="5"/>
      <c r="H24" s="14"/>
      <c r="I24" s="14"/>
      <c r="J24" s="14"/>
      <c r="K24" s="14"/>
      <c r="L24" s="14"/>
      <c r="M24" s="14"/>
      <c r="N24" s="14"/>
      <c r="O24" s="14"/>
      <c r="P24" s="14"/>
      <c r="Q24" s="14"/>
      <c r="R24" s="14"/>
      <c r="S24" s="14"/>
      <c r="T24" s="14"/>
      <c r="U24" s="14"/>
      <c r="V24" s="14"/>
      <c r="W24" s="2"/>
      <c r="X24" s="2"/>
    </row>
    <row r="25" spans="1:24" ht="63" x14ac:dyDescent="0.2">
      <c r="A25" s="16" t="str">
        <f>$C$4&amp;"-"&amp;TEXT(COUNTA($E$15:E25),"00")</f>
        <v>TC-09</v>
      </c>
      <c r="B25" s="32"/>
      <c r="C25" s="5" t="s">
        <v>49</v>
      </c>
      <c r="D25" s="5" t="s">
        <v>50</v>
      </c>
      <c r="E25" s="5" t="s">
        <v>51</v>
      </c>
      <c r="F25" s="1" t="s">
        <v>24</v>
      </c>
      <c r="G25" s="5"/>
      <c r="H25" s="14"/>
      <c r="I25" s="14"/>
      <c r="J25" s="14"/>
      <c r="K25" s="14"/>
      <c r="L25" s="14"/>
      <c r="M25" s="14"/>
      <c r="N25" s="14"/>
      <c r="O25" s="14"/>
      <c r="P25" s="14"/>
      <c r="Q25" s="14"/>
      <c r="R25" s="14"/>
      <c r="S25" s="14"/>
      <c r="T25" s="14"/>
      <c r="U25" s="14"/>
      <c r="V25" s="14"/>
      <c r="W25" s="2"/>
      <c r="X25" s="2"/>
    </row>
    <row r="26" spans="1:24" ht="31.5" x14ac:dyDescent="0.2">
      <c r="A26" s="16" t="str">
        <f>$C$4&amp;"-"&amp;TEXT(COUNTA($E$15:E26),"00")</f>
        <v>TC-10</v>
      </c>
      <c r="B26" s="36" t="s">
        <v>52</v>
      </c>
      <c r="C26" s="5" t="s">
        <v>53</v>
      </c>
      <c r="D26" s="5" t="s">
        <v>54</v>
      </c>
      <c r="E26" s="5" t="s">
        <v>55</v>
      </c>
      <c r="F26" s="1" t="s">
        <v>24</v>
      </c>
      <c r="G26" s="5"/>
      <c r="H26" s="14"/>
      <c r="I26" s="14"/>
      <c r="J26" s="14"/>
      <c r="K26" s="14"/>
      <c r="L26" s="14"/>
      <c r="M26" s="14"/>
      <c r="N26" s="14"/>
      <c r="O26" s="14"/>
      <c r="P26" s="14"/>
      <c r="Q26" s="14"/>
      <c r="R26" s="14"/>
      <c r="S26" s="14"/>
      <c r="T26" s="14"/>
      <c r="U26" s="14"/>
      <c r="V26" s="14"/>
      <c r="W26" s="2"/>
      <c r="X26" s="2"/>
    </row>
    <row r="27" spans="1:24" ht="31.5" x14ac:dyDescent="0.2">
      <c r="A27" s="16" t="str">
        <f>$C$4&amp;"-"&amp;TEXT(COUNTA($E$15:E27),"00")</f>
        <v>TC-11</v>
      </c>
      <c r="B27" s="32"/>
      <c r="C27" s="5" t="s">
        <v>56</v>
      </c>
      <c r="D27" s="5" t="s">
        <v>57</v>
      </c>
      <c r="E27" s="5" t="s">
        <v>58</v>
      </c>
      <c r="F27" s="1" t="s">
        <v>24</v>
      </c>
      <c r="G27" s="17" t="s">
        <v>59</v>
      </c>
      <c r="H27" s="14"/>
      <c r="I27" s="14"/>
      <c r="J27" s="14"/>
      <c r="K27" s="14"/>
      <c r="L27" s="14"/>
      <c r="M27" s="14"/>
      <c r="N27" s="14"/>
      <c r="O27" s="14"/>
      <c r="P27" s="14"/>
      <c r="Q27" s="14"/>
      <c r="R27" s="14"/>
      <c r="S27" s="14"/>
      <c r="T27" s="14"/>
      <c r="U27" s="14"/>
      <c r="V27" s="14"/>
      <c r="W27" s="2"/>
      <c r="X27" s="2"/>
    </row>
    <row r="28" spans="1:24" ht="31.5" x14ac:dyDescent="0.2">
      <c r="A28" s="16" t="str">
        <f>$C$4&amp;"-"&amp;TEXT(COUNTA($E$15:E28),"00")</f>
        <v>TC-12</v>
      </c>
      <c r="B28" s="36" t="s">
        <v>60</v>
      </c>
      <c r="C28" s="5" t="s">
        <v>61</v>
      </c>
      <c r="D28" s="5" t="s">
        <v>62</v>
      </c>
      <c r="E28" s="5" t="s">
        <v>63</v>
      </c>
      <c r="F28" s="1" t="s">
        <v>24</v>
      </c>
      <c r="G28" s="5"/>
      <c r="H28" s="14"/>
      <c r="I28" s="14"/>
      <c r="J28" s="14"/>
      <c r="K28" s="14"/>
      <c r="L28" s="14"/>
      <c r="M28" s="14"/>
      <c r="N28" s="14"/>
      <c r="O28" s="14"/>
      <c r="P28" s="14"/>
      <c r="Q28" s="14"/>
      <c r="R28" s="14"/>
      <c r="S28" s="14"/>
      <c r="T28" s="14"/>
      <c r="U28" s="14"/>
      <c r="V28" s="14"/>
      <c r="W28" s="2"/>
      <c r="X28" s="2"/>
    </row>
    <row r="29" spans="1:24" ht="47.25" x14ac:dyDescent="0.2">
      <c r="A29" s="16" t="str">
        <f>$C$4&amp;"-"&amp;TEXT(COUNTA($E$15:E29),"00")</f>
        <v>TC-13</v>
      </c>
      <c r="B29" s="32"/>
      <c r="C29" s="5" t="s">
        <v>64</v>
      </c>
      <c r="D29" s="5" t="s">
        <v>65</v>
      </c>
      <c r="E29" s="5" t="s">
        <v>66</v>
      </c>
      <c r="F29" s="1" t="s">
        <v>67</v>
      </c>
      <c r="G29" s="17" t="s">
        <v>68</v>
      </c>
      <c r="H29" s="14"/>
      <c r="I29" s="14"/>
      <c r="J29" s="14"/>
      <c r="K29" s="14"/>
      <c r="L29" s="14"/>
      <c r="M29" s="14"/>
      <c r="N29" s="14"/>
      <c r="O29" s="14"/>
      <c r="P29" s="14"/>
      <c r="Q29" s="14"/>
      <c r="R29" s="14"/>
      <c r="S29" s="14"/>
      <c r="T29" s="14"/>
      <c r="U29" s="14"/>
      <c r="V29" s="14"/>
      <c r="W29" s="2"/>
      <c r="X29" s="2"/>
    </row>
    <row r="30" spans="1:24" ht="31.5" x14ac:dyDescent="0.2">
      <c r="A30" s="16" t="str">
        <f>$C$4&amp;"-"&amp;TEXT(COUNTA($E$15:E30),"00")</f>
        <v>TC-14</v>
      </c>
      <c r="B30" s="36" t="s">
        <v>69</v>
      </c>
      <c r="C30" s="5" t="s">
        <v>70</v>
      </c>
      <c r="D30" s="5" t="s">
        <v>71</v>
      </c>
      <c r="E30" s="5" t="s">
        <v>72</v>
      </c>
      <c r="F30" s="1" t="s">
        <v>24</v>
      </c>
      <c r="G30" s="5"/>
      <c r="H30" s="14"/>
      <c r="I30" s="14"/>
      <c r="J30" s="14"/>
      <c r="K30" s="14"/>
      <c r="L30" s="14"/>
      <c r="M30" s="14"/>
      <c r="N30" s="14"/>
      <c r="O30" s="14"/>
      <c r="P30" s="14"/>
      <c r="Q30" s="14"/>
      <c r="R30" s="14"/>
      <c r="S30" s="14"/>
      <c r="T30" s="14"/>
      <c r="U30" s="14"/>
      <c r="V30" s="14"/>
      <c r="W30" s="2"/>
      <c r="X30" s="2"/>
    </row>
    <row r="31" spans="1:24" ht="31.5" x14ac:dyDescent="0.2">
      <c r="A31" s="16" t="str">
        <f>$C$4&amp;"-"&amp;TEXT(COUNTA($E$15:E31),"00")</f>
        <v>TC-15</v>
      </c>
      <c r="B31" s="32"/>
      <c r="C31" s="5" t="s">
        <v>73</v>
      </c>
      <c r="D31" s="5" t="s">
        <v>74</v>
      </c>
      <c r="E31" s="5" t="s">
        <v>75</v>
      </c>
      <c r="F31" s="1" t="s">
        <v>24</v>
      </c>
      <c r="G31" s="17" t="s">
        <v>76</v>
      </c>
      <c r="H31" s="14"/>
      <c r="I31" s="14"/>
      <c r="J31" s="14"/>
      <c r="K31" s="14"/>
      <c r="L31" s="14"/>
      <c r="M31" s="14"/>
      <c r="N31" s="14"/>
      <c r="O31" s="14"/>
      <c r="P31" s="14"/>
      <c r="Q31" s="14"/>
      <c r="R31" s="14"/>
      <c r="S31" s="14"/>
      <c r="T31" s="14"/>
      <c r="U31" s="14"/>
      <c r="V31" s="14"/>
      <c r="W31" s="2"/>
      <c r="X31" s="2"/>
    </row>
    <row r="32" spans="1:24" x14ac:dyDescent="0.2">
      <c r="A32" s="16" t="str">
        <f>$C$4&amp;"-"&amp;TEXT(COUNTA($E$15:E32),"00")</f>
        <v>TC-16</v>
      </c>
      <c r="B32" s="36" t="s">
        <v>77</v>
      </c>
      <c r="C32" s="5" t="s">
        <v>78</v>
      </c>
      <c r="D32" s="5" t="s">
        <v>79</v>
      </c>
      <c r="E32" s="5" t="s">
        <v>80</v>
      </c>
      <c r="F32" s="1" t="s">
        <v>24</v>
      </c>
      <c r="G32" s="5"/>
      <c r="H32" s="14"/>
      <c r="I32" s="14"/>
      <c r="J32" s="14"/>
      <c r="K32" s="14"/>
      <c r="L32" s="14"/>
      <c r="M32" s="14"/>
      <c r="N32" s="14"/>
      <c r="O32" s="14"/>
      <c r="P32" s="14"/>
      <c r="Q32" s="14"/>
      <c r="R32" s="14"/>
      <c r="S32" s="14"/>
      <c r="T32" s="14"/>
      <c r="U32" s="14"/>
      <c r="V32" s="14"/>
      <c r="W32" s="2"/>
      <c r="X32" s="2"/>
    </row>
    <row r="33" spans="1:24" x14ac:dyDescent="0.2">
      <c r="A33" s="16" t="str">
        <f>$C$4&amp;"-"&amp;TEXT(COUNTA($E$15:E33),"00")</f>
        <v>TC-17</v>
      </c>
      <c r="B33" s="32"/>
      <c r="C33" s="5" t="s">
        <v>81</v>
      </c>
      <c r="D33" s="5" t="s">
        <v>82</v>
      </c>
      <c r="E33" s="5" t="s">
        <v>83</v>
      </c>
      <c r="F33" s="1" t="s">
        <v>24</v>
      </c>
      <c r="G33" s="5"/>
      <c r="H33" s="14"/>
      <c r="I33" s="14"/>
      <c r="J33" s="14"/>
      <c r="K33" s="14"/>
      <c r="L33" s="14"/>
      <c r="M33" s="14"/>
      <c r="N33" s="14"/>
      <c r="O33" s="14"/>
      <c r="P33" s="14"/>
      <c r="Q33" s="14"/>
      <c r="R33" s="14"/>
      <c r="S33" s="14"/>
      <c r="T33" s="14"/>
      <c r="U33" s="14"/>
      <c r="V33" s="14"/>
      <c r="W33" s="2"/>
      <c r="X33" s="2"/>
    </row>
    <row r="34" spans="1:24" x14ac:dyDescent="0.2">
      <c r="A34" s="39" t="s">
        <v>84</v>
      </c>
      <c r="B34" s="34"/>
      <c r="C34" s="34"/>
      <c r="D34" s="34"/>
      <c r="E34" s="34"/>
      <c r="F34" s="35"/>
      <c r="G34" s="15"/>
      <c r="H34" s="14"/>
      <c r="I34" s="14"/>
      <c r="J34" s="14"/>
      <c r="K34" s="14"/>
      <c r="L34" s="14"/>
      <c r="M34" s="14"/>
      <c r="N34" s="14"/>
      <c r="O34" s="14"/>
      <c r="P34" s="14"/>
      <c r="Q34" s="14"/>
      <c r="R34" s="14"/>
      <c r="S34" s="14"/>
      <c r="T34" s="14"/>
      <c r="U34" s="14"/>
      <c r="V34" s="14"/>
      <c r="W34" s="2"/>
      <c r="X34" s="2"/>
    </row>
    <row r="35" spans="1:24" ht="63" x14ac:dyDescent="0.2">
      <c r="A35" s="16" t="str">
        <f>$C$4&amp;"-"&amp;TEXT(COUNTA($E$15:E35),"00")</f>
        <v>TC-18</v>
      </c>
      <c r="B35" s="5" t="s">
        <v>85</v>
      </c>
      <c r="C35" s="5" t="s">
        <v>86</v>
      </c>
      <c r="D35" s="5" t="s">
        <v>87</v>
      </c>
      <c r="E35" s="5" t="s">
        <v>88</v>
      </c>
      <c r="F35" s="1"/>
      <c r="G35" s="5"/>
      <c r="H35" s="14"/>
      <c r="I35" s="14"/>
      <c r="J35" s="14"/>
      <c r="K35" s="14"/>
      <c r="L35" s="14"/>
      <c r="M35" s="14"/>
      <c r="N35" s="14"/>
      <c r="O35" s="14"/>
      <c r="P35" s="14"/>
      <c r="Q35" s="14"/>
      <c r="R35" s="14"/>
      <c r="S35" s="14"/>
      <c r="T35" s="14"/>
      <c r="U35" s="14"/>
      <c r="V35" s="14"/>
      <c r="W35" s="2"/>
      <c r="X35" s="2"/>
    </row>
    <row r="36" spans="1:24" ht="47.25" x14ac:dyDescent="0.2">
      <c r="A36" s="16" t="str">
        <f>$C$4&amp;"-"&amp;TEXT(COUNTA($E$15:E36),"00")</f>
        <v>TC-19</v>
      </c>
      <c r="B36" s="5" t="s">
        <v>89</v>
      </c>
      <c r="C36" s="5" t="s">
        <v>90</v>
      </c>
      <c r="D36" s="5" t="s">
        <v>91</v>
      </c>
      <c r="E36" s="5" t="s">
        <v>92</v>
      </c>
      <c r="F36" s="1" t="s">
        <v>24</v>
      </c>
      <c r="G36" s="5"/>
      <c r="H36" s="14"/>
      <c r="I36" s="14"/>
      <c r="J36" s="14"/>
      <c r="K36" s="14"/>
      <c r="L36" s="14"/>
      <c r="M36" s="14"/>
      <c r="N36" s="14"/>
      <c r="O36" s="14"/>
      <c r="P36" s="14"/>
      <c r="Q36" s="14"/>
      <c r="R36" s="14"/>
      <c r="S36" s="14"/>
      <c r="T36" s="14"/>
      <c r="U36" s="14"/>
      <c r="V36" s="14"/>
      <c r="W36" s="2"/>
      <c r="X36" s="2"/>
    </row>
    <row r="37" spans="1:24" ht="63" x14ac:dyDescent="0.2">
      <c r="A37" s="16" t="str">
        <f>$C$4&amp;"-"&amp;TEXT(COUNTA($E$15:E37),"00")</f>
        <v>TC-20</v>
      </c>
      <c r="B37" s="5" t="s">
        <v>93</v>
      </c>
      <c r="C37" s="5" t="s">
        <v>94</v>
      </c>
      <c r="D37" s="5" t="s">
        <v>95</v>
      </c>
      <c r="E37" s="5" t="s">
        <v>96</v>
      </c>
      <c r="F37" s="1" t="s">
        <v>24</v>
      </c>
      <c r="G37" s="17" t="s">
        <v>97</v>
      </c>
      <c r="H37" s="14"/>
      <c r="I37" s="14"/>
      <c r="J37" s="14"/>
      <c r="K37" s="14"/>
      <c r="L37" s="14"/>
      <c r="M37" s="14"/>
      <c r="N37" s="14"/>
      <c r="O37" s="14"/>
      <c r="P37" s="14"/>
      <c r="Q37" s="14"/>
      <c r="R37" s="14"/>
      <c r="S37" s="14"/>
      <c r="T37" s="14"/>
      <c r="U37" s="14"/>
      <c r="V37" s="14"/>
      <c r="W37" s="2"/>
      <c r="X37" s="2"/>
    </row>
    <row r="38" spans="1:24" ht="63" x14ac:dyDescent="0.2">
      <c r="A38" s="16" t="str">
        <f>$C$4&amp;"-"&amp;TEXT(COUNTA($E$15:E38),"00")</f>
        <v>TC-21</v>
      </c>
      <c r="B38" s="36" t="s">
        <v>98</v>
      </c>
      <c r="C38" s="5" t="s">
        <v>99</v>
      </c>
      <c r="D38" s="5" t="s">
        <v>100</v>
      </c>
      <c r="E38" s="5" t="s">
        <v>101</v>
      </c>
      <c r="F38" s="1" t="s">
        <v>24</v>
      </c>
      <c r="G38" s="5"/>
      <c r="H38" s="14"/>
      <c r="I38" s="14"/>
      <c r="J38" s="14"/>
      <c r="K38" s="14"/>
      <c r="L38" s="14"/>
      <c r="M38" s="14"/>
      <c r="N38" s="14"/>
      <c r="O38" s="14"/>
      <c r="P38" s="14"/>
      <c r="Q38" s="14"/>
      <c r="R38" s="14"/>
      <c r="S38" s="14"/>
      <c r="T38" s="14"/>
      <c r="U38" s="14"/>
      <c r="V38" s="14"/>
      <c r="W38" s="2"/>
      <c r="X38" s="2"/>
    </row>
    <row r="39" spans="1:24" ht="47.25" x14ac:dyDescent="0.2">
      <c r="A39" s="16" t="str">
        <f>$C$4&amp;"-"&amp;TEXT(COUNTA($E$15:E39),"00")</f>
        <v>TC-22</v>
      </c>
      <c r="B39" s="31"/>
      <c r="C39" s="5" t="s">
        <v>102</v>
      </c>
      <c r="D39" s="5" t="s">
        <v>103</v>
      </c>
      <c r="E39" s="5" t="s">
        <v>104</v>
      </c>
      <c r="F39" s="1" t="s">
        <v>24</v>
      </c>
      <c r="G39" s="5"/>
      <c r="H39" s="14"/>
      <c r="I39" s="14"/>
      <c r="J39" s="14"/>
      <c r="K39" s="14"/>
      <c r="L39" s="14"/>
      <c r="M39" s="14"/>
      <c r="N39" s="14"/>
      <c r="O39" s="14"/>
      <c r="P39" s="14"/>
      <c r="Q39" s="14"/>
      <c r="R39" s="14"/>
      <c r="S39" s="14"/>
      <c r="T39" s="14"/>
      <c r="U39" s="14"/>
      <c r="V39" s="14"/>
      <c r="W39" s="2"/>
      <c r="X39" s="2"/>
    </row>
    <row r="40" spans="1:24" ht="31.5" x14ac:dyDescent="0.2">
      <c r="A40" s="16" t="str">
        <f>$C$4&amp;"-"&amp;TEXT(COUNTA($E$15:E40),"00")</f>
        <v>TC-23</v>
      </c>
      <c r="B40" s="31"/>
      <c r="C40" s="5" t="s">
        <v>105</v>
      </c>
      <c r="D40" s="5" t="s">
        <v>106</v>
      </c>
      <c r="E40" s="5" t="s">
        <v>107</v>
      </c>
      <c r="F40" s="1" t="s">
        <v>24</v>
      </c>
      <c r="G40" s="5"/>
      <c r="H40" s="14"/>
      <c r="I40" s="14"/>
      <c r="J40" s="14"/>
      <c r="K40" s="14"/>
      <c r="L40" s="14"/>
      <c r="M40" s="14"/>
      <c r="N40" s="14"/>
      <c r="O40" s="14"/>
      <c r="P40" s="14"/>
      <c r="Q40" s="14"/>
      <c r="R40" s="14"/>
      <c r="S40" s="14"/>
      <c r="T40" s="14"/>
      <c r="U40" s="14"/>
      <c r="V40" s="14"/>
      <c r="W40" s="2"/>
      <c r="X40" s="2"/>
    </row>
    <row r="41" spans="1:24" ht="47.25" x14ac:dyDescent="0.2">
      <c r="A41" s="16" t="str">
        <f>$C$4&amp;"-"&amp;TEXT(COUNTA($E$15:E41),"00")</f>
        <v>TC-24</v>
      </c>
      <c r="B41" s="31"/>
      <c r="C41" s="5" t="s">
        <v>108</v>
      </c>
      <c r="D41" s="5" t="s">
        <v>109</v>
      </c>
      <c r="E41" s="5" t="s">
        <v>110</v>
      </c>
      <c r="F41" s="1" t="s">
        <v>111</v>
      </c>
      <c r="G41" s="5"/>
      <c r="H41" s="14"/>
      <c r="I41" s="14"/>
      <c r="J41" s="14"/>
      <c r="K41" s="14"/>
      <c r="L41" s="14"/>
      <c r="M41" s="14"/>
      <c r="N41" s="14"/>
      <c r="O41" s="14"/>
      <c r="P41" s="14"/>
      <c r="Q41" s="14"/>
      <c r="R41" s="14"/>
      <c r="S41" s="14"/>
      <c r="T41" s="14"/>
      <c r="U41" s="14"/>
      <c r="V41" s="14"/>
      <c r="W41" s="2"/>
      <c r="X41" s="2"/>
    </row>
    <row r="42" spans="1:24" ht="31.5" x14ac:dyDescent="0.2">
      <c r="A42" s="16" t="str">
        <f>$C$4&amp;"-"&amp;TEXT(COUNTA($E$15:E42),"00")</f>
        <v>TC-25</v>
      </c>
      <c r="B42" s="32"/>
      <c r="C42" s="5" t="s">
        <v>112</v>
      </c>
      <c r="D42" s="5" t="s">
        <v>113</v>
      </c>
      <c r="E42" s="5" t="s">
        <v>114</v>
      </c>
      <c r="F42" s="1" t="s">
        <v>111</v>
      </c>
      <c r="G42" s="5"/>
      <c r="H42" s="14"/>
      <c r="I42" s="14"/>
      <c r="J42" s="14"/>
      <c r="K42" s="14"/>
      <c r="L42" s="14"/>
      <c r="M42" s="14"/>
      <c r="N42" s="14"/>
      <c r="O42" s="14"/>
      <c r="P42" s="14"/>
      <c r="Q42" s="14"/>
      <c r="R42" s="14"/>
      <c r="S42" s="14"/>
      <c r="T42" s="14"/>
      <c r="U42" s="14"/>
      <c r="V42" s="14"/>
      <c r="W42" s="2"/>
      <c r="X42" s="2"/>
    </row>
    <row r="43" spans="1:24" ht="31.5" x14ac:dyDescent="0.2">
      <c r="A43" s="16" t="str">
        <f>$C$4&amp;"-"&amp;TEXT(COUNTA($E$15:E43),"00")</f>
        <v>TC-26</v>
      </c>
      <c r="B43" s="36" t="s">
        <v>115</v>
      </c>
      <c r="C43" s="5" t="s">
        <v>116</v>
      </c>
      <c r="D43" s="5" t="s">
        <v>117</v>
      </c>
      <c r="E43" s="5" t="s">
        <v>118</v>
      </c>
      <c r="F43" s="1" t="s">
        <v>24</v>
      </c>
      <c r="G43" s="5"/>
      <c r="H43" s="14"/>
      <c r="I43" s="14"/>
      <c r="J43" s="14"/>
      <c r="K43" s="14"/>
      <c r="L43" s="14"/>
      <c r="M43" s="14"/>
      <c r="N43" s="14"/>
      <c r="O43" s="14"/>
      <c r="P43" s="14"/>
      <c r="Q43" s="14"/>
      <c r="R43" s="14"/>
      <c r="S43" s="14"/>
      <c r="T43" s="14"/>
      <c r="U43" s="14"/>
      <c r="V43" s="14"/>
      <c r="W43" s="2"/>
      <c r="X43" s="2"/>
    </row>
    <row r="44" spans="1:24" ht="47.25" x14ac:dyDescent="0.2">
      <c r="A44" s="16" t="str">
        <f>$C$4&amp;"-"&amp;TEXT(COUNTA($E$15:E44),"00")</f>
        <v>TC-27</v>
      </c>
      <c r="B44" s="31"/>
      <c r="C44" s="5" t="s">
        <v>119</v>
      </c>
      <c r="D44" s="5" t="s">
        <v>120</v>
      </c>
      <c r="E44" s="5" t="s">
        <v>121</v>
      </c>
      <c r="F44" s="1"/>
      <c r="G44" s="5"/>
      <c r="H44" s="14"/>
      <c r="I44" s="14"/>
      <c r="J44" s="14"/>
      <c r="K44" s="14"/>
      <c r="L44" s="14"/>
      <c r="M44" s="14"/>
      <c r="N44" s="14"/>
      <c r="O44" s="14"/>
      <c r="P44" s="14"/>
      <c r="Q44" s="14"/>
      <c r="R44" s="14"/>
      <c r="S44" s="14"/>
      <c r="T44" s="14"/>
      <c r="U44" s="14"/>
      <c r="V44" s="14"/>
      <c r="W44" s="2"/>
      <c r="X44" s="2"/>
    </row>
    <row r="45" spans="1:24" ht="47.25" x14ac:dyDescent="0.2">
      <c r="A45" s="16" t="str">
        <f>$C$4&amp;"-"&amp;TEXT(COUNTA($E$15:E45),"00")</f>
        <v>TC-28</v>
      </c>
      <c r="B45" s="31"/>
      <c r="C45" s="5" t="s">
        <v>122</v>
      </c>
      <c r="D45" s="5" t="s">
        <v>123</v>
      </c>
      <c r="E45" s="5" t="s">
        <v>124</v>
      </c>
      <c r="F45" s="1"/>
      <c r="G45" s="5"/>
      <c r="H45" s="14"/>
      <c r="I45" s="14"/>
      <c r="J45" s="14"/>
      <c r="K45" s="14"/>
      <c r="L45" s="14"/>
      <c r="M45" s="14"/>
      <c r="N45" s="14"/>
      <c r="O45" s="14"/>
      <c r="P45" s="14"/>
      <c r="Q45" s="14"/>
      <c r="R45" s="14"/>
      <c r="S45" s="14"/>
      <c r="T45" s="14"/>
      <c r="U45" s="14"/>
      <c r="V45" s="14"/>
      <c r="W45" s="2"/>
      <c r="X45" s="2"/>
    </row>
    <row r="46" spans="1:24" ht="47.25" x14ac:dyDescent="0.2">
      <c r="A46" s="16" t="str">
        <f>$C$4&amp;"-"&amp;TEXT(COUNTA($E$15:E46),"00")</f>
        <v>TC-29</v>
      </c>
      <c r="B46" s="31"/>
      <c r="C46" s="5" t="s">
        <v>125</v>
      </c>
      <c r="D46" s="5" t="s">
        <v>126</v>
      </c>
      <c r="E46" s="5" t="s">
        <v>127</v>
      </c>
      <c r="F46" s="1" t="s">
        <v>111</v>
      </c>
      <c r="G46" s="5"/>
      <c r="H46" s="14"/>
      <c r="I46" s="14"/>
      <c r="J46" s="14"/>
      <c r="K46" s="14"/>
      <c r="L46" s="14"/>
      <c r="M46" s="14"/>
      <c r="N46" s="14"/>
      <c r="O46" s="14"/>
      <c r="P46" s="14"/>
      <c r="Q46" s="14"/>
      <c r="R46" s="14"/>
      <c r="S46" s="14"/>
      <c r="T46" s="14"/>
      <c r="U46" s="14"/>
      <c r="V46" s="14"/>
      <c r="W46" s="2"/>
      <c r="X46" s="2"/>
    </row>
    <row r="47" spans="1:24" ht="47.25" x14ac:dyDescent="0.2">
      <c r="A47" s="16" t="str">
        <f>$C$4&amp;"-"&amp;TEXT(COUNTA($E$15:E47),"00")</f>
        <v>TC-30</v>
      </c>
      <c r="B47" s="32"/>
      <c r="C47" s="5" t="s">
        <v>128</v>
      </c>
      <c r="D47" s="5" t="s">
        <v>129</v>
      </c>
      <c r="E47" s="5" t="s">
        <v>130</v>
      </c>
      <c r="F47" s="1" t="s">
        <v>24</v>
      </c>
      <c r="G47" s="17" t="s">
        <v>131</v>
      </c>
      <c r="H47" s="14"/>
      <c r="I47" s="14"/>
      <c r="J47" s="14"/>
      <c r="K47" s="14"/>
      <c r="L47" s="14"/>
      <c r="M47" s="14"/>
      <c r="N47" s="14"/>
      <c r="O47" s="14"/>
      <c r="P47" s="14"/>
      <c r="Q47" s="14"/>
      <c r="R47" s="14"/>
      <c r="S47" s="14"/>
      <c r="T47" s="14"/>
      <c r="U47" s="14"/>
      <c r="V47" s="14"/>
      <c r="W47" s="2"/>
      <c r="X47" s="2"/>
    </row>
    <row r="48" spans="1:24" ht="47.25" x14ac:dyDescent="0.2">
      <c r="A48" s="16" t="str">
        <f>$C$4&amp;"-"&amp;TEXT(COUNTA($E$15:E48),"00")</f>
        <v>TC-31</v>
      </c>
      <c r="B48" s="36" t="s">
        <v>132</v>
      </c>
      <c r="C48" s="5" t="s">
        <v>133</v>
      </c>
      <c r="D48" s="5" t="s">
        <v>134</v>
      </c>
      <c r="E48" s="5" t="s">
        <v>135</v>
      </c>
      <c r="F48" s="1" t="s">
        <v>24</v>
      </c>
      <c r="G48" s="5"/>
      <c r="H48" s="14"/>
      <c r="I48" s="14"/>
      <c r="J48" s="14"/>
      <c r="K48" s="14"/>
      <c r="L48" s="14"/>
      <c r="M48" s="14"/>
      <c r="N48" s="14"/>
      <c r="O48" s="14"/>
      <c r="P48" s="14"/>
      <c r="Q48" s="14"/>
      <c r="R48" s="14"/>
      <c r="S48" s="14"/>
      <c r="T48" s="14"/>
      <c r="U48" s="14"/>
      <c r="V48" s="14"/>
      <c r="W48" s="2"/>
      <c r="X48" s="2"/>
    </row>
    <row r="49" spans="1:24" ht="47.25" x14ac:dyDescent="0.2">
      <c r="A49" s="16" t="str">
        <f>$C$4&amp;"-"&amp;TEXT(COUNTA($E$15:E49),"00")</f>
        <v>TC-32</v>
      </c>
      <c r="B49" s="31"/>
      <c r="C49" s="5" t="s">
        <v>136</v>
      </c>
      <c r="D49" s="5" t="s">
        <v>137</v>
      </c>
      <c r="E49" s="5" t="s">
        <v>135</v>
      </c>
      <c r="F49" s="1" t="s">
        <v>24</v>
      </c>
      <c r="G49" s="5"/>
      <c r="H49" s="14"/>
      <c r="I49" s="14"/>
      <c r="J49" s="14"/>
      <c r="K49" s="14"/>
      <c r="L49" s="14"/>
      <c r="M49" s="14"/>
      <c r="N49" s="14"/>
      <c r="O49" s="14"/>
      <c r="P49" s="14"/>
      <c r="Q49" s="14"/>
      <c r="R49" s="14"/>
      <c r="S49" s="14"/>
      <c r="T49" s="14"/>
      <c r="U49" s="14"/>
      <c r="V49" s="14"/>
      <c r="W49" s="2"/>
      <c r="X49" s="2"/>
    </row>
    <row r="50" spans="1:24" ht="47.25" x14ac:dyDescent="0.2">
      <c r="A50" s="16" t="str">
        <f>$C$4&amp;"-"&amp;TEXT(COUNTA($E$15:E50),"00")</f>
        <v>TC-33</v>
      </c>
      <c r="B50" s="31"/>
      <c r="C50" s="5" t="s">
        <v>138</v>
      </c>
      <c r="D50" s="5" t="s">
        <v>139</v>
      </c>
      <c r="E50" s="5" t="s">
        <v>140</v>
      </c>
      <c r="F50" s="1" t="s">
        <v>24</v>
      </c>
      <c r="G50" s="5"/>
      <c r="H50" s="14"/>
      <c r="I50" s="14"/>
      <c r="J50" s="14"/>
      <c r="K50" s="14"/>
      <c r="L50" s="14"/>
      <c r="M50" s="14"/>
      <c r="N50" s="14"/>
      <c r="O50" s="14"/>
      <c r="P50" s="14"/>
      <c r="Q50" s="14"/>
      <c r="R50" s="14"/>
      <c r="S50" s="14"/>
      <c r="T50" s="14"/>
      <c r="U50" s="14"/>
      <c r="V50" s="14"/>
      <c r="W50" s="2"/>
      <c r="X50" s="2"/>
    </row>
    <row r="51" spans="1:24" ht="47.25" x14ac:dyDescent="0.2">
      <c r="A51" s="16" t="str">
        <f>$C$4&amp;"-"&amp;TEXT(COUNTA($E$15:E51),"00")</f>
        <v>TC-34</v>
      </c>
      <c r="B51" s="31"/>
      <c r="C51" s="5" t="s">
        <v>141</v>
      </c>
      <c r="D51" s="5" t="s">
        <v>142</v>
      </c>
      <c r="E51" s="5" t="s">
        <v>143</v>
      </c>
      <c r="F51" s="1" t="s">
        <v>24</v>
      </c>
      <c r="G51" s="5"/>
      <c r="H51" s="14"/>
      <c r="I51" s="14"/>
      <c r="J51" s="14"/>
      <c r="K51" s="14"/>
      <c r="L51" s="14"/>
      <c r="M51" s="14"/>
      <c r="N51" s="14"/>
      <c r="O51" s="14"/>
      <c r="P51" s="14"/>
      <c r="Q51" s="14"/>
      <c r="R51" s="14"/>
      <c r="S51" s="14"/>
      <c r="T51" s="14"/>
      <c r="U51" s="14"/>
      <c r="V51" s="14"/>
      <c r="W51" s="2"/>
      <c r="X51" s="2"/>
    </row>
    <row r="52" spans="1:24" ht="31.5" x14ac:dyDescent="0.2">
      <c r="A52" s="16" t="str">
        <f>$C$4&amp;"-"&amp;TEXT(COUNTA($E$15:E52),"00")</f>
        <v>TC-35</v>
      </c>
      <c r="B52" s="32"/>
      <c r="C52" s="5" t="s">
        <v>144</v>
      </c>
      <c r="D52" s="5" t="s">
        <v>145</v>
      </c>
      <c r="E52" s="5" t="s">
        <v>146</v>
      </c>
      <c r="F52" s="1" t="s">
        <v>24</v>
      </c>
      <c r="G52" s="5"/>
      <c r="H52" s="14"/>
      <c r="I52" s="14"/>
      <c r="J52" s="14"/>
      <c r="K52" s="14"/>
      <c r="L52" s="14"/>
      <c r="M52" s="14"/>
      <c r="N52" s="14"/>
      <c r="O52" s="14"/>
      <c r="P52" s="14"/>
      <c r="Q52" s="14"/>
      <c r="R52" s="14"/>
      <c r="S52" s="14"/>
      <c r="T52" s="14"/>
      <c r="U52" s="14"/>
      <c r="V52" s="14"/>
      <c r="W52" s="2"/>
      <c r="X52" s="2"/>
    </row>
    <row r="53" spans="1:24" ht="31.5" x14ac:dyDescent="0.2">
      <c r="A53" s="16" t="str">
        <f>$C$4&amp;"-"&amp;TEXT(COUNTA($E$15:E53),"00")</f>
        <v>TC-36</v>
      </c>
      <c r="B53" s="5" t="s">
        <v>147</v>
      </c>
      <c r="C53" s="5" t="s">
        <v>148</v>
      </c>
      <c r="D53" s="5" t="s">
        <v>149</v>
      </c>
      <c r="E53" s="5" t="s">
        <v>150</v>
      </c>
      <c r="F53" s="1" t="s">
        <v>24</v>
      </c>
      <c r="G53" s="5"/>
      <c r="H53" s="14"/>
      <c r="I53" s="14"/>
      <c r="J53" s="14"/>
      <c r="K53" s="14"/>
      <c r="L53" s="14"/>
      <c r="M53" s="14"/>
      <c r="N53" s="14"/>
      <c r="O53" s="14"/>
      <c r="P53" s="14"/>
      <c r="Q53" s="14"/>
      <c r="R53" s="14"/>
      <c r="S53" s="14"/>
      <c r="T53" s="14"/>
      <c r="U53" s="14"/>
      <c r="V53" s="14"/>
      <c r="W53" s="2"/>
      <c r="X53" s="2"/>
    </row>
    <row r="54" spans="1:24" ht="31.5" x14ac:dyDescent="0.2">
      <c r="A54" s="16" t="str">
        <f>$C$4&amp;"-"&amp;TEXT(COUNTA($E$15:E54),"00")</f>
        <v>TC-37</v>
      </c>
      <c r="B54" s="36" t="s">
        <v>151</v>
      </c>
      <c r="C54" s="7" t="s">
        <v>152</v>
      </c>
      <c r="D54" s="7" t="s">
        <v>153</v>
      </c>
      <c r="E54" s="7" t="s">
        <v>154</v>
      </c>
      <c r="F54" s="1" t="s">
        <v>24</v>
      </c>
      <c r="G54" s="7"/>
      <c r="H54" s="14"/>
      <c r="I54" s="14"/>
      <c r="J54" s="14"/>
      <c r="K54" s="14"/>
      <c r="L54" s="14"/>
      <c r="M54" s="14"/>
      <c r="N54" s="14"/>
      <c r="O54" s="14"/>
      <c r="P54" s="14"/>
      <c r="Q54" s="14"/>
      <c r="R54" s="14"/>
      <c r="S54" s="14"/>
      <c r="T54" s="14"/>
      <c r="U54" s="14"/>
      <c r="V54" s="14"/>
      <c r="W54" s="2"/>
      <c r="X54" s="2"/>
    </row>
    <row r="55" spans="1:24" ht="31.5" x14ac:dyDescent="0.2">
      <c r="A55" s="16" t="str">
        <f>$C$4&amp;"-"&amp;TEXT(COUNTA($E$15:E55),"00")</f>
        <v>TC-38</v>
      </c>
      <c r="B55" s="31"/>
      <c r="C55" s="5" t="s">
        <v>155</v>
      </c>
      <c r="D55" s="5" t="s">
        <v>156</v>
      </c>
      <c r="E55" s="5" t="s">
        <v>157</v>
      </c>
      <c r="F55" s="1" t="s">
        <v>24</v>
      </c>
      <c r="G55" s="5"/>
      <c r="H55" s="14"/>
      <c r="I55" s="14"/>
      <c r="J55" s="14"/>
      <c r="K55" s="14"/>
      <c r="L55" s="14"/>
      <c r="M55" s="14"/>
      <c r="N55" s="14"/>
      <c r="O55" s="14"/>
      <c r="P55" s="14"/>
      <c r="Q55" s="14"/>
      <c r="R55" s="14"/>
      <c r="S55" s="14"/>
      <c r="T55" s="14"/>
      <c r="U55" s="14"/>
      <c r="V55" s="14"/>
      <c r="W55" s="2"/>
      <c r="X55" s="2"/>
    </row>
    <row r="56" spans="1:24" ht="31.5" x14ac:dyDescent="0.2">
      <c r="A56" s="16" t="str">
        <f>$C$4&amp;"-"&amp;TEXT(COUNTA($E$15:E56),"00")</f>
        <v>TC-39</v>
      </c>
      <c r="B56" s="31"/>
      <c r="C56" s="5" t="s">
        <v>158</v>
      </c>
      <c r="D56" s="5" t="s">
        <v>159</v>
      </c>
      <c r="E56" s="5" t="s">
        <v>160</v>
      </c>
      <c r="F56" s="1"/>
      <c r="G56" s="5"/>
      <c r="H56" s="14"/>
      <c r="I56" s="14"/>
      <c r="J56" s="14"/>
      <c r="K56" s="14"/>
      <c r="L56" s="14"/>
      <c r="M56" s="14"/>
      <c r="N56" s="14"/>
      <c r="O56" s="14"/>
      <c r="P56" s="14"/>
      <c r="Q56" s="14"/>
      <c r="R56" s="14"/>
      <c r="S56" s="14"/>
      <c r="T56" s="14"/>
      <c r="U56" s="14"/>
      <c r="V56" s="14"/>
      <c r="W56" s="2"/>
      <c r="X56" s="2"/>
    </row>
    <row r="57" spans="1:24" ht="31.5" x14ac:dyDescent="0.2">
      <c r="A57" s="16" t="str">
        <f>$C$4&amp;"-"&amp;TEXT(COUNTA($E$15:E57),"00")</f>
        <v>TC-40</v>
      </c>
      <c r="B57" s="32"/>
      <c r="C57" s="5" t="s">
        <v>161</v>
      </c>
      <c r="D57" s="5" t="s">
        <v>162</v>
      </c>
      <c r="E57" s="5" t="s">
        <v>163</v>
      </c>
      <c r="F57" s="1"/>
      <c r="G57" s="5"/>
      <c r="H57" s="14"/>
      <c r="I57" s="14"/>
      <c r="J57" s="14"/>
      <c r="K57" s="14"/>
      <c r="L57" s="14"/>
      <c r="M57" s="14"/>
      <c r="N57" s="14"/>
      <c r="O57" s="14"/>
      <c r="P57" s="14"/>
      <c r="Q57" s="14"/>
      <c r="R57" s="14"/>
      <c r="S57" s="14"/>
      <c r="T57" s="14"/>
      <c r="U57" s="14"/>
      <c r="V57" s="14"/>
      <c r="W57" s="2"/>
      <c r="X57" s="2"/>
    </row>
    <row r="58" spans="1:24" ht="31.5" x14ac:dyDescent="0.2">
      <c r="A58" s="16" t="str">
        <f>$C$4&amp;"-"&amp;TEXT(COUNTA($E$15:E58),"00")</f>
        <v>TC-41</v>
      </c>
      <c r="B58" s="36" t="s">
        <v>164</v>
      </c>
      <c r="C58" s="5" t="s">
        <v>165</v>
      </c>
      <c r="D58" s="5" t="s">
        <v>153</v>
      </c>
      <c r="E58" s="5" t="s">
        <v>166</v>
      </c>
      <c r="F58" s="1"/>
      <c r="G58" s="5"/>
      <c r="H58" s="14"/>
      <c r="I58" s="14"/>
      <c r="J58" s="14"/>
      <c r="K58" s="14"/>
      <c r="L58" s="14"/>
      <c r="M58" s="14"/>
      <c r="N58" s="14"/>
      <c r="O58" s="14"/>
      <c r="P58" s="14"/>
      <c r="Q58" s="14"/>
      <c r="R58" s="14"/>
      <c r="S58" s="14"/>
      <c r="T58" s="14"/>
      <c r="U58" s="14"/>
      <c r="V58" s="14"/>
      <c r="W58" s="2"/>
      <c r="X58" s="2"/>
    </row>
    <row r="59" spans="1:24" ht="31.5" x14ac:dyDescent="0.2">
      <c r="A59" s="16" t="str">
        <f>$C$4&amp;"-"&amp;TEXT(COUNTA($E$15:E59),"00")</f>
        <v>TC-42</v>
      </c>
      <c r="B59" s="31"/>
      <c r="C59" s="5" t="s">
        <v>167</v>
      </c>
      <c r="D59" s="5" t="s">
        <v>168</v>
      </c>
      <c r="E59" s="5" t="s">
        <v>169</v>
      </c>
      <c r="F59" s="1"/>
      <c r="G59" s="5"/>
      <c r="H59" s="14"/>
      <c r="I59" s="14"/>
      <c r="J59" s="14"/>
      <c r="K59" s="14"/>
      <c r="L59" s="14"/>
      <c r="M59" s="14"/>
      <c r="N59" s="14"/>
      <c r="O59" s="14"/>
      <c r="P59" s="14"/>
      <c r="Q59" s="14"/>
      <c r="R59" s="14"/>
      <c r="S59" s="14"/>
      <c r="T59" s="14"/>
      <c r="U59" s="14"/>
      <c r="V59" s="14"/>
      <c r="W59" s="2"/>
      <c r="X59" s="2"/>
    </row>
    <row r="60" spans="1:24" ht="47.25" x14ac:dyDescent="0.2">
      <c r="A60" s="16" t="str">
        <f>$C$4&amp;"-"&amp;TEXT(COUNTA($E$15:E60),"00")</f>
        <v>TC-43</v>
      </c>
      <c r="B60" s="32"/>
      <c r="C60" s="5" t="s">
        <v>170</v>
      </c>
      <c r="D60" s="5" t="s">
        <v>171</v>
      </c>
      <c r="E60" s="5" t="s">
        <v>160</v>
      </c>
      <c r="F60" s="1"/>
      <c r="G60" s="5"/>
      <c r="H60" s="14"/>
      <c r="I60" s="14"/>
      <c r="J60" s="14"/>
      <c r="K60" s="14"/>
      <c r="L60" s="14"/>
      <c r="M60" s="14"/>
      <c r="N60" s="14"/>
      <c r="O60" s="14"/>
      <c r="P60" s="14"/>
      <c r="Q60" s="14"/>
      <c r="R60" s="14"/>
      <c r="S60" s="14"/>
      <c r="T60" s="14"/>
      <c r="U60" s="14"/>
      <c r="V60" s="14"/>
      <c r="W60" s="2"/>
      <c r="X60" s="2"/>
    </row>
    <row r="61" spans="1:24" x14ac:dyDescent="0.2">
      <c r="A61" s="39" t="s">
        <v>172</v>
      </c>
      <c r="B61" s="34"/>
      <c r="C61" s="34"/>
      <c r="D61" s="34"/>
      <c r="E61" s="34"/>
      <c r="F61" s="35"/>
      <c r="G61" s="15"/>
      <c r="H61" s="2"/>
      <c r="I61" s="2"/>
      <c r="J61" s="2"/>
      <c r="K61" s="2"/>
      <c r="L61" s="2"/>
      <c r="M61" s="2"/>
      <c r="N61" s="2"/>
      <c r="O61" s="2"/>
      <c r="P61" s="2"/>
      <c r="Q61" s="2"/>
      <c r="R61" s="2"/>
      <c r="S61" s="2"/>
      <c r="T61" s="2"/>
      <c r="U61" s="2"/>
      <c r="V61" s="2"/>
      <c r="W61" s="2"/>
      <c r="X61" s="2"/>
    </row>
    <row r="62" spans="1:24" ht="47.25" x14ac:dyDescent="0.2">
      <c r="A62" s="16" t="str">
        <f>$C$4&amp;"-"&amp;TEXT(COUNTA($E$15:E62),"00")</f>
        <v>TC-44</v>
      </c>
      <c r="B62" s="36" t="s">
        <v>173</v>
      </c>
      <c r="C62" s="5" t="s">
        <v>174</v>
      </c>
      <c r="D62" s="5" t="s">
        <v>175</v>
      </c>
      <c r="E62" s="5" t="s">
        <v>176</v>
      </c>
      <c r="F62" s="1" t="s">
        <v>24</v>
      </c>
      <c r="G62" s="17" t="s">
        <v>177</v>
      </c>
      <c r="H62" s="2"/>
      <c r="I62" s="2"/>
      <c r="J62" s="2"/>
      <c r="K62" s="2"/>
      <c r="L62" s="2"/>
      <c r="M62" s="2"/>
      <c r="N62" s="2"/>
      <c r="O62" s="2"/>
      <c r="P62" s="2"/>
      <c r="Q62" s="2"/>
      <c r="R62" s="2"/>
      <c r="S62" s="2"/>
      <c r="T62" s="2"/>
      <c r="U62" s="2"/>
      <c r="V62" s="2"/>
      <c r="W62" s="2"/>
      <c r="X62" s="2"/>
    </row>
    <row r="63" spans="1:24" ht="47.25" x14ac:dyDescent="0.2">
      <c r="A63" s="16" t="str">
        <f>$C$4&amp;"-"&amp;TEXT(COUNTA($E$15:E63),"00")</f>
        <v>TC-45</v>
      </c>
      <c r="B63" s="32"/>
      <c r="C63" s="5" t="s">
        <v>178</v>
      </c>
      <c r="D63" s="5" t="s">
        <v>179</v>
      </c>
      <c r="E63" s="5" t="s">
        <v>180</v>
      </c>
      <c r="F63" s="1" t="s">
        <v>24</v>
      </c>
      <c r="G63" s="5"/>
      <c r="H63" s="2"/>
      <c r="I63" s="2"/>
      <c r="J63" s="2"/>
      <c r="K63" s="2"/>
      <c r="L63" s="2"/>
      <c r="M63" s="2"/>
      <c r="N63" s="2"/>
      <c r="O63" s="2"/>
      <c r="P63" s="2"/>
      <c r="Q63" s="2"/>
      <c r="R63" s="2"/>
      <c r="S63" s="2"/>
      <c r="T63" s="2"/>
      <c r="U63" s="2"/>
      <c r="V63" s="2"/>
      <c r="W63" s="2"/>
      <c r="X63" s="2"/>
    </row>
    <row r="64" spans="1:24" ht="63" x14ac:dyDescent="0.2">
      <c r="A64" s="16" t="str">
        <f>$C$4&amp;"-"&amp;TEXT(COUNTA($E$15:E64),"00")</f>
        <v>TC-46</v>
      </c>
      <c r="B64" s="36" t="s">
        <v>181</v>
      </c>
      <c r="C64" s="5" t="s">
        <v>182</v>
      </c>
      <c r="D64" s="5" t="s">
        <v>183</v>
      </c>
      <c r="E64" s="5" t="s">
        <v>184</v>
      </c>
      <c r="F64" s="1" t="s">
        <v>24</v>
      </c>
      <c r="G64" s="5"/>
      <c r="H64" s="2"/>
      <c r="I64" s="2"/>
      <c r="J64" s="2"/>
      <c r="K64" s="2"/>
      <c r="L64" s="2"/>
      <c r="M64" s="2"/>
      <c r="N64" s="2"/>
      <c r="O64" s="2"/>
      <c r="P64" s="2"/>
      <c r="Q64" s="2"/>
      <c r="R64" s="2"/>
      <c r="S64" s="2"/>
      <c r="T64" s="2"/>
      <c r="U64" s="2"/>
      <c r="V64" s="2"/>
      <c r="W64" s="2"/>
      <c r="X64" s="2"/>
    </row>
    <row r="65" spans="1:24" ht="31.5" x14ac:dyDescent="0.2">
      <c r="A65" s="16" t="str">
        <f>$C$4&amp;"-"&amp;TEXT(COUNTA($E$15:E65),"00")</f>
        <v>TC-47</v>
      </c>
      <c r="B65" s="31"/>
      <c r="C65" s="5" t="s">
        <v>185</v>
      </c>
      <c r="D65" s="5" t="s">
        <v>186</v>
      </c>
      <c r="E65" s="5" t="s">
        <v>187</v>
      </c>
      <c r="F65" s="1" t="s">
        <v>24</v>
      </c>
      <c r="G65" s="5"/>
      <c r="H65" s="2"/>
      <c r="I65" s="2"/>
      <c r="J65" s="2"/>
      <c r="K65" s="2"/>
      <c r="L65" s="2"/>
      <c r="M65" s="2"/>
      <c r="N65" s="2"/>
      <c r="O65" s="2"/>
      <c r="P65" s="2"/>
      <c r="Q65" s="2"/>
      <c r="R65" s="2"/>
      <c r="S65" s="2"/>
      <c r="T65" s="2"/>
      <c r="U65" s="2"/>
      <c r="V65" s="2"/>
      <c r="W65" s="2"/>
      <c r="X65" s="2"/>
    </row>
    <row r="66" spans="1:24" ht="47.25" x14ac:dyDescent="0.2">
      <c r="A66" s="16" t="str">
        <f>$C$4&amp;"-"&amp;TEXT(COUNTA($E$15:E66),"00")</f>
        <v>TC-48</v>
      </c>
      <c r="B66" s="32"/>
      <c r="C66" s="5" t="s">
        <v>188</v>
      </c>
      <c r="D66" s="5" t="s">
        <v>189</v>
      </c>
      <c r="E66" s="5" t="s">
        <v>190</v>
      </c>
      <c r="F66" s="1" t="s">
        <v>24</v>
      </c>
      <c r="G66" s="5"/>
      <c r="H66" s="2"/>
      <c r="I66" s="2"/>
      <c r="J66" s="2"/>
      <c r="K66" s="2"/>
      <c r="L66" s="2"/>
      <c r="M66" s="2"/>
      <c r="N66" s="2"/>
      <c r="O66" s="2"/>
      <c r="P66" s="2"/>
      <c r="Q66" s="2"/>
      <c r="R66" s="2"/>
      <c r="S66" s="2"/>
      <c r="T66" s="2"/>
      <c r="U66" s="2"/>
      <c r="V66" s="2"/>
      <c r="W66" s="2"/>
      <c r="X66" s="2"/>
    </row>
    <row r="67" spans="1:24" x14ac:dyDescent="0.2">
      <c r="A67" s="16" t="str">
        <f>$C$4&amp;"-"&amp;TEXT(COUNTA($E$15:E67),"00")</f>
        <v>TC-49</v>
      </c>
      <c r="B67" s="5" t="s">
        <v>191</v>
      </c>
      <c r="C67" s="5" t="s">
        <v>192</v>
      </c>
      <c r="D67" s="5" t="s">
        <v>193</v>
      </c>
      <c r="E67" s="5" t="s">
        <v>194</v>
      </c>
      <c r="F67" s="1" t="s">
        <v>24</v>
      </c>
      <c r="G67" s="5"/>
      <c r="H67" s="2"/>
      <c r="I67" s="2"/>
      <c r="J67" s="2"/>
      <c r="K67" s="2"/>
      <c r="L67" s="2"/>
      <c r="M67" s="2"/>
      <c r="N67" s="2"/>
      <c r="O67" s="2"/>
      <c r="P67" s="2"/>
      <c r="Q67" s="2"/>
      <c r="R67" s="2"/>
      <c r="S67" s="2"/>
      <c r="T67" s="2"/>
      <c r="U67" s="2"/>
      <c r="V67" s="2"/>
      <c r="W67" s="2"/>
      <c r="X67" s="2"/>
    </row>
    <row r="68" spans="1:24" ht="31.5" x14ac:dyDescent="0.2">
      <c r="A68" s="16" t="str">
        <f>$C$4&amp;"-"&amp;TEXT(COUNTA($E$15:E68),"00")</f>
        <v>TC-50</v>
      </c>
      <c r="B68" s="36" t="s">
        <v>195</v>
      </c>
      <c r="C68" s="5" t="s">
        <v>196</v>
      </c>
      <c r="D68" s="5" t="s">
        <v>197</v>
      </c>
      <c r="E68" s="5" t="s">
        <v>198</v>
      </c>
      <c r="F68" s="1" t="s">
        <v>24</v>
      </c>
      <c r="G68" s="5"/>
      <c r="H68" s="2"/>
      <c r="I68" s="2"/>
      <c r="J68" s="2"/>
      <c r="K68" s="2"/>
      <c r="L68" s="2"/>
      <c r="M68" s="2"/>
      <c r="N68" s="2"/>
      <c r="O68" s="2"/>
      <c r="P68" s="2"/>
      <c r="Q68" s="2"/>
      <c r="R68" s="2"/>
      <c r="S68" s="2"/>
      <c r="T68" s="2"/>
      <c r="U68" s="2"/>
      <c r="V68" s="2"/>
      <c r="W68" s="2"/>
      <c r="X68" s="2"/>
    </row>
    <row r="69" spans="1:24" x14ac:dyDescent="0.2">
      <c r="A69" s="16" t="str">
        <f>$C$4&amp;"-"&amp;TEXT(COUNTA($E$15:E69),"00")</f>
        <v>TC-51</v>
      </c>
      <c r="B69" s="31"/>
      <c r="C69" s="5" t="s">
        <v>199</v>
      </c>
      <c r="D69" s="5" t="s">
        <v>200</v>
      </c>
      <c r="E69" s="5" t="s">
        <v>201</v>
      </c>
      <c r="F69" s="1" t="s">
        <v>111</v>
      </c>
      <c r="G69" s="5"/>
      <c r="H69" s="2"/>
      <c r="I69" s="2"/>
      <c r="J69" s="2"/>
      <c r="K69" s="2"/>
      <c r="L69" s="2"/>
      <c r="M69" s="2"/>
      <c r="N69" s="2"/>
      <c r="O69" s="2"/>
      <c r="P69" s="2"/>
      <c r="Q69" s="2"/>
      <c r="R69" s="2"/>
      <c r="S69" s="2"/>
      <c r="T69" s="2"/>
      <c r="U69" s="2"/>
      <c r="V69" s="2"/>
      <c r="W69" s="2"/>
      <c r="X69" s="2"/>
    </row>
    <row r="70" spans="1:24" ht="31.5" x14ac:dyDescent="0.2">
      <c r="A70" s="16" t="str">
        <f>$C$4&amp;"-"&amp;TEXT(COUNTA($E$15:E70),"00")</f>
        <v>TC-52</v>
      </c>
      <c r="B70" s="31"/>
      <c r="C70" s="5" t="s">
        <v>202</v>
      </c>
      <c r="D70" s="5" t="s">
        <v>203</v>
      </c>
      <c r="E70" s="5" t="s">
        <v>204</v>
      </c>
      <c r="F70" s="1" t="s">
        <v>111</v>
      </c>
      <c r="G70" s="5"/>
      <c r="H70" s="2"/>
      <c r="I70" s="2"/>
      <c r="J70" s="2"/>
      <c r="K70" s="2"/>
      <c r="L70" s="2"/>
      <c r="M70" s="2"/>
      <c r="N70" s="2"/>
      <c r="O70" s="2"/>
      <c r="P70" s="2"/>
      <c r="Q70" s="2"/>
      <c r="R70" s="2"/>
      <c r="S70" s="2"/>
      <c r="T70" s="2"/>
      <c r="U70" s="2"/>
      <c r="V70" s="2"/>
      <c r="W70" s="2"/>
      <c r="X70" s="2"/>
    </row>
    <row r="71" spans="1:24" ht="31.5" x14ac:dyDescent="0.2">
      <c r="A71" s="16" t="str">
        <f>$C$4&amp;"-"&amp;TEXT(COUNTA($E$15:E71),"00")</f>
        <v>TC-53</v>
      </c>
      <c r="B71" s="31"/>
      <c r="C71" s="5" t="s">
        <v>205</v>
      </c>
      <c r="D71" s="5" t="s">
        <v>206</v>
      </c>
      <c r="E71" s="5" t="s">
        <v>207</v>
      </c>
      <c r="F71" s="1" t="s">
        <v>111</v>
      </c>
      <c r="G71" s="5"/>
      <c r="H71" s="2"/>
      <c r="I71" s="2"/>
      <c r="J71" s="2"/>
      <c r="K71" s="2"/>
      <c r="L71" s="2"/>
      <c r="M71" s="2"/>
      <c r="N71" s="2"/>
      <c r="O71" s="2"/>
      <c r="P71" s="2"/>
      <c r="Q71" s="2"/>
      <c r="R71" s="2"/>
      <c r="S71" s="2"/>
      <c r="T71" s="2"/>
      <c r="U71" s="2"/>
      <c r="V71" s="2"/>
      <c r="W71" s="2"/>
      <c r="X71" s="2"/>
    </row>
    <row r="72" spans="1:24" ht="31.5" x14ac:dyDescent="0.2">
      <c r="A72" s="16" t="str">
        <f>$C$4&amp;"-"&amp;TEXT(COUNTA($E$15:E72),"00")</f>
        <v>TC-54</v>
      </c>
      <c r="B72" s="31"/>
      <c r="C72" s="5" t="s">
        <v>208</v>
      </c>
      <c r="D72" s="5" t="s">
        <v>209</v>
      </c>
      <c r="E72" s="5" t="s">
        <v>210</v>
      </c>
      <c r="F72" s="1" t="s">
        <v>111</v>
      </c>
      <c r="G72" s="5"/>
      <c r="H72" s="2"/>
      <c r="I72" s="2"/>
      <c r="J72" s="2"/>
      <c r="K72" s="2"/>
      <c r="L72" s="2"/>
      <c r="M72" s="2"/>
      <c r="N72" s="2"/>
      <c r="O72" s="2"/>
      <c r="P72" s="2"/>
      <c r="Q72" s="2"/>
      <c r="R72" s="2"/>
      <c r="S72" s="2"/>
      <c r="T72" s="2"/>
      <c r="U72" s="2"/>
      <c r="V72" s="2"/>
      <c r="W72" s="2"/>
      <c r="X72" s="2"/>
    </row>
    <row r="73" spans="1:24" ht="31.5" x14ac:dyDescent="0.2">
      <c r="A73" s="16" t="str">
        <f>$C$4&amp;"-"&amp;TEXT(COUNTA($E$15:E73),"00")</f>
        <v>TC-55</v>
      </c>
      <c r="B73" s="31"/>
      <c r="C73" s="5" t="s">
        <v>211</v>
      </c>
      <c r="D73" s="5" t="s">
        <v>212</v>
      </c>
      <c r="E73" s="5" t="s">
        <v>213</v>
      </c>
      <c r="F73" s="1" t="s">
        <v>111</v>
      </c>
      <c r="G73" s="5"/>
      <c r="H73" s="2"/>
      <c r="I73" s="2"/>
      <c r="J73" s="2"/>
      <c r="K73" s="2"/>
      <c r="L73" s="2"/>
      <c r="M73" s="2"/>
      <c r="N73" s="2"/>
      <c r="O73" s="2"/>
      <c r="P73" s="2"/>
      <c r="Q73" s="2"/>
      <c r="R73" s="2"/>
      <c r="S73" s="2"/>
      <c r="T73" s="2"/>
      <c r="U73" s="2"/>
      <c r="V73" s="2"/>
      <c r="W73" s="2"/>
      <c r="X73" s="2"/>
    </row>
    <row r="74" spans="1:24" ht="47.25" x14ac:dyDescent="0.2">
      <c r="A74" s="16" t="str">
        <f>$C$4&amp;"-"&amp;TEXT(COUNTA($E$15:E74),"00")</f>
        <v>TC-56</v>
      </c>
      <c r="B74" s="31"/>
      <c r="C74" s="5" t="s">
        <v>214</v>
      </c>
      <c r="D74" s="5" t="s">
        <v>215</v>
      </c>
      <c r="E74" s="5" t="s">
        <v>216</v>
      </c>
      <c r="F74" s="1" t="s">
        <v>111</v>
      </c>
      <c r="G74" s="5"/>
      <c r="H74" s="2"/>
      <c r="I74" s="2"/>
      <c r="J74" s="2"/>
      <c r="K74" s="2"/>
      <c r="L74" s="2"/>
      <c r="M74" s="2"/>
      <c r="N74" s="2"/>
      <c r="O74" s="2"/>
      <c r="P74" s="2"/>
      <c r="Q74" s="2"/>
      <c r="R74" s="2"/>
      <c r="S74" s="2"/>
      <c r="T74" s="2"/>
      <c r="U74" s="2"/>
      <c r="V74" s="2"/>
      <c r="W74" s="2"/>
      <c r="X74" s="2"/>
    </row>
    <row r="75" spans="1:24" ht="31.5" x14ac:dyDescent="0.2">
      <c r="A75" s="16" t="str">
        <f>$C$4&amp;"-"&amp;TEXT(COUNTA($E$15:E75),"00")</f>
        <v>TC-57</v>
      </c>
      <c r="B75" s="31"/>
      <c r="C75" s="5" t="s">
        <v>217</v>
      </c>
      <c r="D75" s="5" t="s">
        <v>218</v>
      </c>
      <c r="E75" s="5" t="s">
        <v>219</v>
      </c>
      <c r="F75" s="1" t="s">
        <v>111</v>
      </c>
      <c r="G75" s="5"/>
      <c r="H75" s="2"/>
      <c r="I75" s="2"/>
      <c r="J75" s="2"/>
      <c r="K75" s="2"/>
      <c r="L75" s="2"/>
      <c r="M75" s="2"/>
      <c r="N75" s="2"/>
      <c r="O75" s="2"/>
      <c r="P75" s="2"/>
      <c r="Q75" s="2"/>
      <c r="R75" s="2"/>
      <c r="S75" s="2"/>
      <c r="T75" s="2"/>
      <c r="U75" s="2"/>
      <c r="V75" s="2"/>
      <c r="W75" s="2"/>
      <c r="X75" s="2"/>
    </row>
    <row r="76" spans="1:24" ht="31.5" x14ac:dyDescent="0.2">
      <c r="A76" s="16" t="str">
        <f>$C$4&amp;"-"&amp;TEXT(COUNTA($E$15:E76),"00")</f>
        <v>TC-58</v>
      </c>
      <c r="B76" s="31"/>
      <c r="C76" s="5" t="s">
        <v>220</v>
      </c>
      <c r="D76" s="5" t="s">
        <v>221</v>
      </c>
      <c r="E76" s="5" t="s">
        <v>222</v>
      </c>
      <c r="F76" s="1" t="s">
        <v>111</v>
      </c>
      <c r="G76" s="5"/>
      <c r="H76" s="2"/>
      <c r="I76" s="2"/>
      <c r="J76" s="2"/>
      <c r="K76" s="2"/>
      <c r="L76" s="2"/>
      <c r="M76" s="2"/>
      <c r="N76" s="2"/>
      <c r="O76" s="2"/>
      <c r="P76" s="2"/>
      <c r="Q76" s="2"/>
      <c r="R76" s="2"/>
      <c r="S76" s="2"/>
      <c r="T76" s="2"/>
      <c r="U76" s="2"/>
      <c r="V76" s="2"/>
      <c r="W76" s="2"/>
      <c r="X76" s="2"/>
    </row>
    <row r="77" spans="1:24" ht="47.25" x14ac:dyDescent="0.2">
      <c r="A77" s="16" t="str">
        <f>$C$4&amp;"-"&amp;TEXT(COUNTA($E$15:E77),"00")</f>
        <v>TC-59</v>
      </c>
      <c r="B77" s="32"/>
      <c r="C77" s="5" t="s">
        <v>223</v>
      </c>
      <c r="D77" s="5" t="s">
        <v>224</v>
      </c>
      <c r="E77" s="5" t="s">
        <v>225</v>
      </c>
      <c r="F77" s="1" t="s">
        <v>111</v>
      </c>
      <c r="G77" s="5"/>
      <c r="H77" s="2"/>
      <c r="I77" s="2"/>
      <c r="J77" s="2"/>
      <c r="K77" s="2"/>
      <c r="L77" s="2"/>
      <c r="M77" s="2"/>
      <c r="N77" s="2"/>
      <c r="O77" s="2"/>
      <c r="P77" s="2"/>
      <c r="Q77" s="2"/>
      <c r="R77" s="2"/>
      <c r="S77" s="2"/>
      <c r="T77" s="2"/>
      <c r="U77" s="2"/>
      <c r="V77" s="2"/>
      <c r="W77" s="2"/>
      <c r="X77" s="2"/>
    </row>
    <row r="78" spans="1:24" ht="31.5" x14ac:dyDescent="0.2">
      <c r="A78" s="16" t="str">
        <f>$C$4&amp;"-"&amp;TEXT(COUNTA($E$15:E78),"00")</f>
        <v>TC-60</v>
      </c>
      <c r="B78" s="36" t="s">
        <v>226</v>
      </c>
      <c r="C78" s="5" t="s">
        <v>227</v>
      </c>
      <c r="D78" s="5" t="s">
        <v>228</v>
      </c>
      <c r="E78" s="5" t="s">
        <v>229</v>
      </c>
      <c r="F78" s="1" t="s">
        <v>24</v>
      </c>
      <c r="G78" s="5"/>
      <c r="H78" s="2"/>
      <c r="I78" s="2"/>
      <c r="J78" s="2"/>
      <c r="K78" s="2"/>
      <c r="L78" s="2"/>
      <c r="M78" s="2"/>
      <c r="N78" s="2"/>
      <c r="O78" s="2"/>
      <c r="P78" s="2"/>
      <c r="Q78" s="2"/>
      <c r="R78" s="2"/>
      <c r="S78" s="2"/>
      <c r="T78" s="2"/>
      <c r="U78" s="2"/>
      <c r="V78" s="2"/>
      <c r="W78" s="2"/>
      <c r="X78" s="2"/>
    </row>
    <row r="79" spans="1:24" ht="47.25" x14ac:dyDescent="0.2">
      <c r="A79" s="16" t="str">
        <f>$C$4&amp;"-"&amp;TEXT(COUNTA($E$15:E79),"00")</f>
        <v>TC-61</v>
      </c>
      <c r="B79" s="32"/>
      <c r="C79" s="5" t="s">
        <v>230</v>
      </c>
      <c r="D79" s="5" t="s">
        <v>231</v>
      </c>
      <c r="E79" s="5" t="s">
        <v>232</v>
      </c>
      <c r="F79" s="1" t="s">
        <v>24</v>
      </c>
      <c r="G79" s="5"/>
      <c r="H79" s="2"/>
      <c r="I79" s="2"/>
      <c r="J79" s="2"/>
      <c r="K79" s="2"/>
      <c r="L79" s="2"/>
      <c r="M79" s="2"/>
      <c r="N79" s="2"/>
      <c r="O79" s="2"/>
      <c r="P79" s="2"/>
      <c r="Q79" s="2"/>
      <c r="R79" s="2"/>
      <c r="S79" s="2"/>
      <c r="T79" s="2"/>
      <c r="U79" s="2"/>
      <c r="V79" s="2"/>
      <c r="W79" s="2"/>
      <c r="X79" s="2"/>
    </row>
    <row r="80" spans="1:24" ht="31.5" x14ac:dyDescent="0.2">
      <c r="A80" s="16" t="str">
        <f>$C$4&amp;"-"&amp;TEXT(COUNTA($E$15:E80),"00")</f>
        <v>TC-62</v>
      </c>
      <c r="B80" s="36" t="s">
        <v>233</v>
      </c>
      <c r="C80" s="5" t="s">
        <v>234</v>
      </c>
      <c r="D80" s="5" t="s">
        <v>235</v>
      </c>
      <c r="E80" s="5" t="s">
        <v>236</v>
      </c>
      <c r="F80" s="1" t="s">
        <v>24</v>
      </c>
      <c r="G80" s="5"/>
      <c r="H80" s="2"/>
      <c r="I80" s="2"/>
      <c r="J80" s="2"/>
      <c r="K80" s="2"/>
      <c r="L80" s="2"/>
      <c r="M80" s="2"/>
      <c r="N80" s="2"/>
      <c r="O80" s="2"/>
      <c r="P80" s="2"/>
      <c r="Q80" s="2"/>
      <c r="R80" s="2"/>
      <c r="S80" s="2"/>
      <c r="T80" s="2"/>
      <c r="U80" s="2"/>
      <c r="V80" s="2"/>
      <c r="W80" s="2"/>
      <c r="X80" s="2"/>
    </row>
    <row r="81" spans="1:24" ht="31.5" x14ac:dyDescent="0.2">
      <c r="A81" s="16" t="str">
        <f>$C$4&amp;"-"&amp;TEXT(COUNTA($E$15:E81),"00")</f>
        <v>TC-63</v>
      </c>
      <c r="B81" s="32"/>
      <c r="C81" s="5" t="s">
        <v>237</v>
      </c>
      <c r="D81" s="5" t="s">
        <v>238</v>
      </c>
      <c r="E81" s="5" t="s">
        <v>239</v>
      </c>
      <c r="F81" s="1" t="s">
        <v>24</v>
      </c>
      <c r="G81" s="5"/>
      <c r="H81" s="2"/>
      <c r="I81" s="2"/>
      <c r="J81" s="2"/>
      <c r="K81" s="2"/>
      <c r="L81" s="2"/>
      <c r="M81" s="2"/>
      <c r="N81" s="2"/>
      <c r="O81" s="2"/>
      <c r="P81" s="2"/>
      <c r="Q81" s="2"/>
      <c r="R81" s="2"/>
      <c r="S81" s="2"/>
      <c r="T81" s="2"/>
      <c r="U81" s="2"/>
      <c r="V81" s="2"/>
      <c r="W81" s="2"/>
      <c r="X81" s="2"/>
    </row>
    <row r="82" spans="1:24" ht="31.5" x14ac:dyDescent="0.2">
      <c r="A82" s="16" t="str">
        <f>$C$4&amp;"-"&amp;TEXT(COUNTA($E$15:E82),"00")</f>
        <v>TC-64</v>
      </c>
      <c r="B82" s="36" t="s">
        <v>240</v>
      </c>
      <c r="C82" s="5" t="s">
        <v>241</v>
      </c>
      <c r="D82" s="5" t="s">
        <v>242</v>
      </c>
      <c r="E82" s="5" t="s">
        <v>243</v>
      </c>
      <c r="F82" s="1" t="s">
        <v>24</v>
      </c>
      <c r="G82" s="5"/>
      <c r="H82" s="2"/>
      <c r="I82" s="2"/>
      <c r="J82" s="2"/>
      <c r="K82" s="2"/>
      <c r="L82" s="2"/>
      <c r="M82" s="2"/>
      <c r="N82" s="2"/>
      <c r="O82" s="2"/>
      <c r="P82" s="2"/>
      <c r="Q82" s="2"/>
      <c r="R82" s="2"/>
      <c r="S82" s="2"/>
      <c r="T82" s="2"/>
      <c r="U82" s="2"/>
      <c r="V82" s="2"/>
      <c r="W82" s="2"/>
      <c r="X82" s="2"/>
    </row>
    <row r="83" spans="1:24" ht="47.25" x14ac:dyDescent="0.2">
      <c r="A83" s="16" t="str">
        <f>$C$4&amp;"-"&amp;TEXT(COUNTA($E$15:E83),"00")</f>
        <v>TC-65</v>
      </c>
      <c r="B83" s="32"/>
      <c r="C83" s="5" t="s">
        <v>244</v>
      </c>
      <c r="D83" s="5" t="s">
        <v>245</v>
      </c>
      <c r="E83" s="5" t="s">
        <v>246</v>
      </c>
      <c r="F83" s="1" t="s">
        <v>24</v>
      </c>
      <c r="G83" s="5"/>
      <c r="H83" s="2"/>
      <c r="I83" s="2"/>
      <c r="J83" s="2"/>
      <c r="K83" s="2"/>
      <c r="L83" s="2"/>
      <c r="M83" s="2"/>
      <c r="N83" s="2"/>
      <c r="O83" s="2"/>
      <c r="P83" s="2"/>
      <c r="Q83" s="2"/>
      <c r="R83" s="2"/>
      <c r="S83" s="2"/>
      <c r="T83" s="2"/>
      <c r="U83" s="2"/>
      <c r="V83" s="2"/>
      <c r="W83" s="2"/>
      <c r="X83" s="2"/>
    </row>
    <row r="84" spans="1:24" ht="31.5" x14ac:dyDescent="0.2">
      <c r="A84" s="16" t="str">
        <f>$C$4&amp;"-"&amp;TEXT(COUNTA($E$15:E84),"00")</f>
        <v>TC-66</v>
      </c>
      <c r="B84" s="5" t="s">
        <v>247</v>
      </c>
      <c r="C84" s="5" t="s">
        <v>248</v>
      </c>
      <c r="D84" s="5" t="s">
        <v>249</v>
      </c>
      <c r="E84" s="5" t="s">
        <v>250</v>
      </c>
      <c r="F84" s="1" t="s">
        <v>24</v>
      </c>
      <c r="G84" s="5"/>
      <c r="H84" s="2"/>
      <c r="I84" s="2"/>
      <c r="J84" s="2"/>
      <c r="K84" s="2"/>
      <c r="L84" s="2"/>
      <c r="M84" s="2"/>
      <c r="N84" s="2"/>
      <c r="O84" s="2"/>
      <c r="P84" s="2"/>
      <c r="Q84" s="2"/>
      <c r="R84" s="2"/>
      <c r="S84" s="2"/>
      <c r="T84" s="2"/>
      <c r="U84" s="2"/>
      <c r="V84" s="2"/>
      <c r="W84" s="2"/>
      <c r="X84" s="2"/>
    </row>
    <row r="85" spans="1:24" ht="31.5" x14ac:dyDescent="0.2">
      <c r="A85" s="16" t="str">
        <f>$C$4&amp;"-"&amp;TEXT(COUNTA($E$15:E85),"00")</f>
        <v>TC-67</v>
      </c>
      <c r="B85" s="36" t="s">
        <v>251</v>
      </c>
      <c r="C85" s="5" t="s">
        <v>252</v>
      </c>
      <c r="D85" s="5" t="s">
        <v>253</v>
      </c>
      <c r="E85" s="5" t="s">
        <v>254</v>
      </c>
      <c r="F85" s="1" t="s">
        <v>24</v>
      </c>
      <c r="G85" s="5"/>
      <c r="H85" s="2"/>
      <c r="I85" s="2"/>
      <c r="J85" s="2"/>
      <c r="K85" s="2"/>
      <c r="L85" s="2"/>
      <c r="M85" s="2"/>
      <c r="N85" s="2"/>
      <c r="O85" s="2"/>
      <c r="P85" s="2"/>
      <c r="Q85" s="2"/>
      <c r="R85" s="2"/>
      <c r="S85" s="2"/>
      <c r="T85" s="2"/>
      <c r="U85" s="2"/>
      <c r="V85" s="2"/>
      <c r="W85" s="2"/>
      <c r="X85" s="2"/>
    </row>
    <row r="86" spans="1:24" ht="47.25" x14ac:dyDescent="0.2">
      <c r="A86" s="16" t="str">
        <f>$C$4&amp;"-"&amp;TEXT(COUNTA($E$15:E86),"00")</f>
        <v>TC-68</v>
      </c>
      <c r="B86" s="31"/>
      <c r="C86" s="5" t="s">
        <v>255</v>
      </c>
      <c r="D86" s="5" t="s">
        <v>256</v>
      </c>
      <c r="E86" s="5" t="s">
        <v>257</v>
      </c>
      <c r="F86" s="1" t="s">
        <v>24</v>
      </c>
      <c r="G86" s="17" t="s">
        <v>258</v>
      </c>
      <c r="H86" s="2"/>
      <c r="I86" s="2"/>
      <c r="J86" s="2"/>
      <c r="K86" s="2"/>
      <c r="L86" s="2"/>
      <c r="M86" s="2"/>
      <c r="N86" s="2"/>
      <c r="O86" s="2"/>
      <c r="P86" s="2"/>
      <c r="Q86" s="2"/>
      <c r="R86" s="2"/>
      <c r="S86" s="2"/>
      <c r="T86" s="2"/>
      <c r="U86" s="2"/>
      <c r="V86" s="2"/>
      <c r="W86" s="2"/>
      <c r="X86" s="2"/>
    </row>
    <row r="87" spans="1:24" ht="31.5" x14ac:dyDescent="0.2">
      <c r="A87" s="16" t="str">
        <f>$C$4&amp;"-"&amp;TEXT(COUNTA($E$15:E87),"00")</f>
        <v>TC-69</v>
      </c>
      <c r="B87" s="31"/>
      <c r="C87" s="5" t="s">
        <v>259</v>
      </c>
      <c r="D87" s="5" t="s">
        <v>260</v>
      </c>
      <c r="E87" s="5" t="s">
        <v>261</v>
      </c>
      <c r="F87" s="1" t="s">
        <v>24</v>
      </c>
      <c r="G87" s="5"/>
      <c r="H87" s="2"/>
      <c r="I87" s="2"/>
      <c r="J87" s="2"/>
      <c r="K87" s="2"/>
      <c r="L87" s="2"/>
      <c r="M87" s="2"/>
      <c r="N87" s="2"/>
      <c r="O87" s="2"/>
      <c r="P87" s="2"/>
      <c r="Q87" s="2"/>
      <c r="R87" s="2"/>
      <c r="S87" s="2"/>
      <c r="T87" s="2"/>
      <c r="U87" s="2"/>
      <c r="V87" s="2"/>
      <c r="W87" s="2"/>
      <c r="X87" s="2"/>
    </row>
    <row r="88" spans="1:24" ht="31.5" x14ac:dyDescent="0.2">
      <c r="A88" s="16" t="str">
        <f>$C$4&amp;"-"&amp;TEXT(COUNTA($E$15:E88),"00")</f>
        <v>TC-70</v>
      </c>
      <c r="B88" s="31"/>
      <c r="C88" s="5" t="s">
        <v>262</v>
      </c>
      <c r="D88" s="5" t="s">
        <v>263</v>
      </c>
      <c r="E88" s="5" t="s">
        <v>264</v>
      </c>
      <c r="F88" s="1" t="s">
        <v>24</v>
      </c>
      <c r="G88" s="5"/>
      <c r="H88" s="2"/>
      <c r="I88" s="2"/>
      <c r="J88" s="2"/>
      <c r="K88" s="2"/>
      <c r="L88" s="2"/>
      <c r="M88" s="2"/>
      <c r="N88" s="2"/>
      <c r="O88" s="2"/>
      <c r="P88" s="2"/>
      <c r="Q88" s="2"/>
      <c r="R88" s="2"/>
      <c r="S88" s="2"/>
      <c r="T88" s="2"/>
      <c r="U88" s="2"/>
      <c r="V88" s="2"/>
      <c r="W88" s="2"/>
      <c r="X88" s="2"/>
    </row>
    <row r="89" spans="1:24" ht="63" x14ac:dyDescent="0.2">
      <c r="A89" s="16" t="str">
        <f>$C$4&amp;"-"&amp;TEXT(COUNTA($E$15:E89),"00")</f>
        <v>TC-71</v>
      </c>
      <c r="B89" s="32"/>
      <c r="C89" s="7" t="s">
        <v>265</v>
      </c>
      <c r="D89" s="7" t="s">
        <v>266</v>
      </c>
      <c r="E89" s="7" t="s">
        <v>267</v>
      </c>
      <c r="F89" s="1" t="s">
        <v>24</v>
      </c>
      <c r="G89" s="7"/>
      <c r="H89" s="2"/>
      <c r="I89" s="2"/>
      <c r="J89" s="2"/>
      <c r="K89" s="2"/>
      <c r="L89" s="2"/>
      <c r="M89" s="2"/>
      <c r="N89" s="2"/>
      <c r="O89" s="2"/>
      <c r="P89" s="2"/>
      <c r="Q89" s="2"/>
      <c r="R89" s="2"/>
      <c r="S89" s="2"/>
      <c r="T89" s="2"/>
      <c r="U89" s="2"/>
      <c r="V89" s="2"/>
      <c r="W89" s="2"/>
      <c r="X89" s="2"/>
    </row>
    <row r="90" spans="1:24" ht="31.5" x14ac:dyDescent="0.2">
      <c r="A90" s="16" t="str">
        <f>$C$4&amp;"-"&amp;TEXT(COUNTA($E$15:E90),"00")</f>
        <v>TC-72</v>
      </c>
      <c r="B90" s="36" t="s">
        <v>268</v>
      </c>
      <c r="C90" s="5" t="s">
        <v>269</v>
      </c>
      <c r="D90" s="5" t="s">
        <v>270</v>
      </c>
      <c r="E90" s="5" t="s">
        <v>271</v>
      </c>
      <c r="F90" s="1" t="s">
        <v>24</v>
      </c>
      <c r="G90" s="5"/>
      <c r="H90" s="2"/>
      <c r="I90" s="2"/>
      <c r="J90" s="2"/>
      <c r="K90" s="2"/>
      <c r="L90" s="2"/>
      <c r="M90" s="2"/>
      <c r="N90" s="2"/>
      <c r="O90" s="2"/>
      <c r="P90" s="2"/>
      <c r="Q90" s="2"/>
      <c r="R90" s="2"/>
      <c r="S90" s="2"/>
      <c r="T90" s="2"/>
      <c r="U90" s="2"/>
      <c r="V90" s="2"/>
      <c r="W90" s="2"/>
      <c r="X90" s="2"/>
    </row>
    <row r="91" spans="1:24" ht="31.5" x14ac:dyDescent="0.2">
      <c r="A91" s="16" t="str">
        <f>$C$4&amp;"-"&amp;TEXT(COUNTA($E$15:E91),"00")</f>
        <v>TC-73</v>
      </c>
      <c r="B91" s="32"/>
      <c r="C91" s="5" t="s">
        <v>272</v>
      </c>
      <c r="D91" s="5" t="s">
        <v>273</v>
      </c>
      <c r="E91" s="5" t="s">
        <v>274</v>
      </c>
      <c r="F91" s="1"/>
      <c r="G91" s="5" t="s">
        <v>275</v>
      </c>
      <c r="H91" s="2"/>
      <c r="I91" s="2"/>
      <c r="J91" s="2"/>
      <c r="K91" s="2"/>
      <c r="L91" s="2"/>
      <c r="M91" s="2"/>
      <c r="N91" s="2"/>
      <c r="O91" s="2"/>
      <c r="P91" s="2"/>
      <c r="Q91" s="2"/>
      <c r="R91" s="2"/>
      <c r="S91" s="2"/>
      <c r="T91" s="2"/>
      <c r="U91" s="2"/>
      <c r="V91" s="2"/>
      <c r="W91" s="2"/>
      <c r="X91" s="2"/>
    </row>
    <row r="92" spans="1:24" ht="31.5" x14ac:dyDescent="0.2">
      <c r="A92" s="16" t="str">
        <f>$C$4&amp;"-"&amp;TEXT(COUNTA($E$15:E92),"00")</f>
        <v>TC-74</v>
      </c>
      <c r="B92" s="5" t="s">
        <v>276</v>
      </c>
      <c r="C92" s="5" t="s">
        <v>277</v>
      </c>
      <c r="D92" s="5" t="s">
        <v>278</v>
      </c>
      <c r="E92" s="5" t="s">
        <v>279</v>
      </c>
      <c r="F92" s="1" t="s">
        <v>111</v>
      </c>
      <c r="G92" s="5"/>
      <c r="H92" s="2"/>
      <c r="I92" s="2"/>
      <c r="J92" s="2"/>
      <c r="K92" s="2"/>
      <c r="L92" s="2"/>
      <c r="M92" s="2"/>
      <c r="N92" s="2"/>
      <c r="O92" s="2"/>
      <c r="P92" s="2"/>
      <c r="Q92" s="2"/>
      <c r="R92" s="2"/>
      <c r="S92" s="2"/>
      <c r="T92" s="2"/>
      <c r="U92" s="2"/>
      <c r="V92" s="2"/>
      <c r="W92" s="2"/>
      <c r="X92" s="2"/>
    </row>
    <row r="93" spans="1:24" ht="31.5" x14ac:dyDescent="0.2">
      <c r="A93" s="16" t="str">
        <f>$C$4&amp;"-"&amp;TEXT(COUNTA($E$15:E93),"00")</f>
        <v>TC-75</v>
      </c>
      <c r="B93" s="36" t="s">
        <v>280</v>
      </c>
      <c r="C93" s="5" t="s">
        <v>281</v>
      </c>
      <c r="D93" s="5" t="s">
        <v>282</v>
      </c>
      <c r="E93" s="5" t="s">
        <v>283</v>
      </c>
      <c r="F93" s="1" t="s">
        <v>24</v>
      </c>
      <c r="G93" s="5"/>
      <c r="H93" s="2"/>
      <c r="I93" s="2"/>
      <c r="J93" s="2"/>
      <c r="K93" s="2"/>
      <c r="L93" s="2"/>
      <c r="M93" s="2"/>
      <c r="N93" s="2"/>
      <c r="O93" s="2"/>
      <c r="P93" s="2"/>
      <c r="Q93" s="2"/>
      <c r="R93" s="2"/>
      <c r="S93" s="2"/>
      <c r="T93" s="2"/>
      <c r="U93" s="2"/>
      <c r="V93" s="2"/>
      <c r="W93" s="2"/>
      <c r="X93" s="2"/>
    </row>
    <row r="94" spans="1:24" ht="31.5" x14ac:dyDescent="0.2">
      <c r="A94" s="16" t="str">
        <f>$C$4&amp;"-"&amp;TEXT(COUNTA($E$15:E94),"00")</f>
        <v>TC-76</v>
      </c>
      <c r="B94" s="31"/>
      <c r="C94" s="5" t="s">
        <v>284</v>
      </c>
      <c r="D94" s="5" t="s">
        <v>285</v>
      </c>
      <c r="E94" s="5" t="s">
        <v>286</v>
      </c>
      <c r="F94" s="1" t="s">
        <v>24</v>
      </c>
      <c r="G94" s="5"/>
      <c r="H94" s="2"/>
      <c r="I94" s="2"/>
      <c r="J94" s="2"/>
      <c r="K94" s="2"/>
      <c r="L94" s="2"/>
      <c r="M94" s="2"/>
      <c r="N94" s="2"/>
      <c r="O94" s="2"/>
      <c r="P94" s="2"/>
      <c r="Q94" s="2"/>
      <c r="R94" s="2"/>
      <c r="S94" s="2"/>
      <c r="T94" s="2"/>
      <c r="U94" s="2"/>
      <c r="V94" s="2"/>
      <c r="W94" s="2"/>
      <c r="X94" s="2"/>
    </row>
    <row r="95" spans="1:24" ht="31.5" x14ac:dyDescent="0.2">
      <c r="A95" s="16" t="str">
        <f>$C$4&amp;"-"&amp;TEXT(COUNTA($E$15:E95),"00")</f>
        <v>TC-77</v>
      </c>
      <c r="B95" s="31"/>
      <c r="C95" s="5" t="s">
        <v>287</v>
      </c>
      <c r="D95" s="5" t="s">
        <v>288</v>
      </c>
      <c r="E95" s="5" t="s">
        <v>289</v>
      </c>
      <c r="F95" s="1" t="s">
        <v>24</v>
      </c>
      <c r="G95" s="5"/>
      <c r="H95" s="2"/>
      <c r="I95" s="2"/>
      <c r="J95" s="2"/>
      <c r="K95" s="2"/>
      <c r="L95" s="2"/>
      <c r="M95" s="2"/>
      <c r="N95" s="2"/>
      <c r="O95" s="2"/>
      <c r="P95" s="2"/>
      <c r="Q95" s="2"/>
      <c r="R95" s="2"/>
      <c r="S95" s="2"/>
      <c r="T95" s="2"/>
      <c r="U95" s="2"/>
      <c r="V95" s="2"/>
      <c r="W95" s="2"/>
      <c r="X95" s="2"/>
    </row>
    <row r="96" spans="1:24" ht="47.25" x14ac:dyDescent="0.2">
      <c r="A96" s="16" t="str">
        <f>$C$4&amp;"-"&amp;TEXT(COUNTA($E$15:E96),"00")</f>
        <v>TC-78</v>
      </c>
      <c r="B96" s="31"/>
      <c r="C96" s="5" t="s">
        <v>290</v>
      </c>
      <c r="D96" s="5" t="s">
        <v>291</v>
      </c>
      <c r="E96" s="5" t="s">
        <v>292</v>
      </c>
      <c r="F96" s="1" t="s">
        <v>24</v>
      </c>
      <c r="G96" s="17" t="s">
        <v>293</v>
      </c>
      <c r="H96" s="2"/>
      <c r="I96" s="2"/>
      <c r="J96" s="2"/>
      <c r="K96" s="2"/>
      <c r="L96" s="2"/>
      <c r="M96" s="2"/>
      <c r="N96" s="2"/>
      <c r="O96" s="2"/>
      <c r="P96" s="2"/>
      <c r="Q96" s="2"/>
      <c r="R96" s="2"/>
      <c r="S96" s="2"/>
      <c r="T96" s="2"/>
      <c r="U96" s="2"/>
      <c r="V96" s="2"/>
      <c r="W96" s="2"/>
      <c r="X96" s="2"/>
    </row>
    <row r="97" spans="1:24" ht="63" x14ac:dyDescent="0.2">
      <c r="A97" s="16" t="str">
        <f>$C$4&amp;"-"&amp;TEXT(COUNTA($E$15:E97),"00")</f>
        <v>TC-79</v>
      </c>
      <c r="B97" s="32"/>
      <c r="C97" s="5" t="s">
        <v>294</v>
      </c>
      <c r="D97" s="5" t="s">
        <v>295</v>
      </c>
      <c r="E97" s="5" t="s">
        <v>296</v>
      </c>
      <c r="F97" s="1" t="s">
        <v>24</v>
      </c>
      <c r="G97" s="17" t="s">
        <v>297</v>
      </c>
      <c r="H97" s="2"/>
      <c r="I97" s="2"/>
      <c r="J97" s="2"/>
      <c r="K97" s="2"/>
      <c r="L97" s="2"/>
      <c r="M97" s="2"/>
      <c r="N97" s="2"/>
      <c r="O97" s="2"/>
      <c r="P97" s="2"/>
      <c r="Q97" s="2"/>
      <c r="R97" s="2"/>
      <c r="S97" s="2"/>
      <c r="T97" s="2"/>
      <c r="U97" s="2"/>
      <c r="V97" s="2"/>
      <c r="W97" s="2"/>
      <c r="X97" s="2"/>
    </row>
    <row r="98" spans="1:24" ht="31.5" x14ac:dyDescent="0.2">
      <c r="A98" s="16" t="str">
        <f>$C$4&amp;"-"&amp;TEXT(COUNTA($E$15:E98),"00")</f>
        <v>TC-80</v>
      </c>
      <c r="B98" s="36" t="s">
        <v>298</v>
      </c>
      <c r="C98" s="5" t="s">
        <v>299</v>
      </c>
      <c r="D98" s="5" t="s">
        <v>300</v>
      </c>
      <c r="E98" s="5" t="s">
        <v>301</v>
      </c>
      <c r="F98" s="1" t="s">
        <v>24</v>
      </c>
      <c r="G98" s="5"/>
      <c r="H98" s="2"/>
      <c r="I98" s="2"/>
      <c r="J98" s="2"/>
      <c r="K98" s="2"/>
      <c r="L98" s="2"/>
      <c r="M98" s="2"/>
      <c r="N98" s="2"/>
      <c r="O98" s="2"/>
      <c r="P98" s="2"/>
      <c r="Q98" s="2"/>
      <c r="R98" s="2"/>
      <c r="S98" s="2"/>
      <c r="T98" s="2"/>
      <c r="U98" s="2"/>
      <c r="V98" s="2"/>
      <c r="W98" s="2"/>
      <c r="X98" s="2"/>
    </row>
    <row r="99" spans="1:24" ht="78.75" x14ac:dyDescent="0.2">
      <c r="A99" s="16" t="str">
        <f>$C$4&amp;"-"&amp;TEXT(COUNTA($E$15:E99),"00")</f>
        <v>TC-81</v>
      </c>
      <c r="B99" s="32"/>
      <c r="C99" s="5" t="s">
        <v>302</v>
      </c>
      <c r="D99" s="5" t="s">
        <v>303</v>
      </c>
      <c r="E99" s="5" t="s">
        <v>304</v>
      </c>
      <c r="F99" s="1" t="s">
        <v>24</v>
      </c>
      <c r="G99" s="5"/>
      <c r="H99" s="2"/>
      <c r="I99" s="2"/>
      <c r="J99" s="2"/>
      <c r="K99" s="2"/>
      <c r="L99" s="2"/>
      <c r="M99" s="2"/>
      <c r="N99" s="2"/>
      <c r="O99" s="2"/>
      <c r="P99" s="2"/>
      <c r="Q99" s="2"/>
      <c r="R99" s="2"/>
      <c r="S99" s="2"/>
      <c r="T99" s="2"/>
      <c r="U99" s="2"/>
      <c r="V99" s="2"/>
      <c r="W99" s="2"/>
      <c r="X99" s="2"/>
    </row>
    <row r="100" spans="1:24" x14ac:dyDescent="0.2">
      <c r="A100" s="39" t="s">
        <v>305</v>
      </c>
      <c r="B100" s="34"/>
      <c r="C100" s="34"/>
      <c r="D100" s="34"/>
      <c r="E100" s="34"/>
      <c r="F100" s="35"/>
      <c r="G100" s="15"/>
      <c r="H100" s="2"/>
      <c r="I100" s="2"/>
      <c r="J100" s="2"/>
      <c r="K100" s="2"/>
      <c r="L100" s="2"/>
      <c r="M100" s="2"/>
      <c r="N100" s="2"/>
      <c r="O100" s="2"/>
      <c r="P100" s="2"/>
      <c r="Q100" s="2"/>
      <c r="R100" s="2"/>
      <c r="S100" s="2"/>
      <c r="T100" s="2"/>
      <c r="U100" s="2"/>
      <c r="V100" s="2"/>
      <c r="W100" s="2"/>
      <c r="X100" s="2"/>
    </row>
    <row r="101" spans="1:24" ht="31.5" x14ac:dyDescent="0.2">
      <c r="A101" s="16" t="str">
        <f>$C$4&amp;"-"&amp;TEXT(COUNTA($E$15:E101),"00")</f>
        <v>TC-82</v>
      </c>
      <c r="B101" s="36" t="s">
        <v>306</v>
      </c>
      <c r="C101" s="5" t="s">
        <v>307</v>
      </c>
      <c r="D101" s="5" t="s">
        <v>308</v>
      </c>
      <c r="E101" s="5" t="s">
        <v>309</v>
      </c>
      <c r="F101" s="1" t="s">
        <v>24</v>
      </c>
      <c r="G101" s="5"/>
      <c r="H101" s="2"/>
      <c r="I101" s="2"/>
      <c r="J101" s="2"/>
      <c r="K101" s="2"/>
      <c r="L101" s="2"/>
      <c r="M101" s="2"/>
      <c r="N101" s="2"/>
      <c r="O101" s="2"/>
      <c r="P101" s="2"/>
      <c r="Q101" s="2"/>
      <c r="R101" s="2"/>
      <c r="S101" s="2"/>
      <c r="T101" s="2"/>
      <c r="U101" s="2"/>
      <c r="V101" s="2"/>
      <c r="W101" s="2"/>
      <c r="X101" s="2"/>
    </row>
    <row r="102" spans="1:24" ht="31.5" x14ac:dyDescent="0.2">
      <c r="A102" s="16" t="str">
        <f>$C$4&amp;"-"&amp;TEXT(COUNTA($E$15:E102),"00")</f>
        <v>TC-83</v>
      </c>
      <c r="B102" s="31"/>
      <c r="C102" s="5" t="s">
        <v>310</v>
      </c>
      <c r="D102" s="5" t="s">
        <v>311</v>
      </c>
      <c r="E102" s="5" t="s">
        <v>312</v>
      </c>
      <c r="F102" s="1"/>
      <c r="G102" s="5" t="s">
        <v>313</v>
      </c>
      <c r="H102" s="2"/>
      <c r="I102" s="2"/>
      <c r="J102" s="2"/>
      <c r="K102" s="2"/>
      <c r="L102" s="2"/>
      <c r="M102" s="2"/>
      <c r="N102" s="2"/>
      <c r="O102" s="2"/>
      <c r="P102" s="2"/>
      <c r="Q102" s="2"/>
      <c r="R102" s="2"/>
      <c r="S102" s="2"/>
      <c r="T102" s="2"/>
      <c r="U102" s="2"/>
      <c r="V102" s="2"/>
      <c r="W102" s="2"/>
      <c r="X102" s="2"/>
    </row>
    <row r="103" spans="1:24" ht="47.25" x14ac:dyDescent="0.2">
      <c r="A103" s="16" t="str">
        <f>$C$4&amp;"-"&amp;TEXT(COUNTA($E$15:E103),"00")</f>
        <v>TC-84</v>
      </c>
      <c r="B103" s="31"/>
      <c r="C103" s="5" t="s">
        <v>314</v>
      </c>
      <c r="D103" s="5" t="s">
        <v>315</v>
      </c>
      <c r="E103" s="5" t="s">
        <v>316</v>
      </c>
      <c r="F103" s="1" t="s">
        <v>24</v>
      </c>
      <c r="G103" s="5"/>
      <c r="H103" s="2"/>
      <c r="I103" s="2"/>
      <c r="J103" s="2"/>
      <c r="K103" s="2"/>
      <c r="L103" s="2"/>
      <c r="M103" s="2"/>
      <c r="N103" s="2"/>
      <c r="O103" s="2"/>
      <c r="P103" s="2"/>
      <c r="Q103" s="2"/>
      <c r="R103" s="2"/>
      <c r="S103" s="2"/>
      <c r="T103" s="2"/>
      <c r="U103" s="2"/>
      <c r="V103" s="2"/>
      <c r="W103" s="2"/>
      <c r="X103" s="2"/>
    </row>
    <row r="104" spans="1:24" ht="63" x14ac:dyDescent="0.2">
      <c r="A104" s="16" t="str">
        <f>$C$4&amp;"-"&amp;TEXT(COUNTA($E$15:E104),"00")</f>
        <v>TC-85</v>
      </c>
      <c r="B104" s="32"/>
      <c r="C104" s="5" t="s">
        <v>317</v>
      </c>
      <c r="D104" s="5" t="s">
        <v>318</v>
      </c>
      <c r="E104" s="5" t="s">
        <v>319</v>
      </c>
      <c r="F104" s="1" t="s">
        <v>24</v>
      </c>
      <c r="G104" s="5"/>
      <c r="H104" s="2"/>
      <c r="I104" s="2"/>
      <c r="J104" s="2"/>
      <c r="K104" s="2"/>
      <c r="L104" s="2"/>
      <c r="M104" s="2"/>
      <c r="N104" s="2"/>
      <c r="O104" s="2"/>
      <c r="P104" s="2"/>
      <c r="Q104" s="2"/>
      <c r="R104" s="2"/>
      <c r="S104" s="2"/>
      <c r="T104" s="2"/>
      <c r="U104" s="2"/>
      <c r="V104" s="2"/>
      <c r="W104" s="2"/>
      <c r="X104" s="2"/>
    </row>
    <row r="105" spans="1:24" ht="31.5" x14ac:dyDescent="0.2">
      <c r="A105" s="16" t="str">
        <f>$C$4&amp;"-"&amp;TEXT(COUNTA($E$15:E105),"00")</f>
        <v>TC-86</v>
      </c>
      <c r="B105" s="36" t="s">
        <v>320</v>
      </c>
      <c r="C105" s="5" t="s">
        <v>321</v>
      </c>
      <c r="D105" s="5" t="s">
        <v>322</v>
      </c>
      <c r="E105" s="5" t="s">
        <v>323</v>
      </c>
      <c r="F105" s="1" t="s">
        <v>24</v>
      </c>
      <c r="G105" s="5"/>
      <c r="H105" s="2"/>
      <c r="I105" s="2"/>
      <c r="J105" s="2"/>
      <c r="K105" s="2"/>
      <c r="L105" s="2"/>
      <c r="M105" s="2"/>
      <c r="N105" s="2"/>
      <c r="O105" s="2"/>
      <c r="P105" s="2"/>
      <c r="Q105" s="2"/>
      <c r="R105" s="2"/>
      <c r="S105" s="2"/>
      <c r="T105" s="2"/>
      <c r="U105" s="2"/>
      <c r="V105" s="2"/>
      <c r="W105" s="2"/>
      <c r="X105" s="2"/>
    </row>
    <row r="106" spans="1:24" ht="31.5" x14ac:dyDescent="0.2">
      <c r="A106" s="16" t="str">
        <f>$C$4&amp;"-"&amp;TEXT(COUNTA($E$15:E106),"00")</f>
        <v>TC-87</v>
      </c>
      <c r="B106" s="32"/>
      <c r="C106" s="5" t="s">
        <v>324</v>
      </c>
      <c r="D106" s="5" t="s">
        <v>325</v>
      </c>
      <c r="E106" s="5" t="s">
        <v>326</v>
      </c>
      <c r="F106" s="1" t="s">
        <v>24</v>
      </c>
      <c r="G106" s="5"/>
      <c r="H106" s="2"/>
      <c r="I106" s="2"/>
      <c r="J106" s="2"/>
      <c r="K106" s="2"/>
      <c r="L106" s="2"/>
      <c r="M106" s="2"/>
      <c r="N106" s="2"/>
      <c r="O106" s="2"/>
      <c r="P106" s="2"/>
      <c r="Q106" s="2"/>
      <c r="R106" s="2"/>
      <c r="S106" s="2"/>
      <c r="T106" s="2"/>
      <c r="U106" s="2"/>
      <c r="V106" s="2"/>
      <c r="W106" s="2"/>
      <c r="X106" s="2"/>
    </row>
    <row r="107" spans="1:24" ht="31.5" x14ac:dyDescent="0.2">
      <c r="A107" s="16" t="str">
        <f>$C$4&amp;"-"&amp;TEXT(COUNTA($E$15:E107),"00")</f>
        <v>TC-88</v>
      </c>
      <c r="B107" s="36" t="s">
        <v>327</v>
      </c>
      <c r="C107" s="5" t="s">
        <v>328</v>
      </c>
      <c r="D107" s="5" t="s">
        <v>329</v>
      </c>
      <c r="E107" s="5" t="s">
        <v>330</v>
      </c>
      <c r="F107" s="1" t="s">
        <v>24</v>
      </c>
      <c r="G107" s="5"/>
      <c r="H107" s="2"/>
      <c r="I107" s="2"/>
      <c r="J107" s="2"/>
      <c r="K107" s="2"/>
      <c r="L107" s="2"/>
      <c r="M107" s="2"/>
      <c r="N107" s="2"/>
      <c r="O107" s="2"/>
      <c r="P107" s="2"/>
      <c r="Q107" s="2"/>
      <c r="R107" s="2"/>
      <c r="S107" s="2"/>
      <c r="T107" s="2"/>
      <c r="U107" s="2"/>
      <c r="V107" s="2"/>
      <c r="W107" s="2"/>
      <c r="X107" s="2"/>
    </row>
    <row r="108" spans="1:24" ht="31.5" x14ac:dyDescent="0.2">
      <c r="A108" s="16" t="str">
        <f>$C$4&amp;"-"&amp;TEXT(COUNTA($E$15:E108),"00")</f>
        <v>TC-89</v>
      </c>
      <c r="B108" s="31"/>
      <c r="C108" s="5" t="s">
        <v>331</v>
      </c>
      <c r="D108" s="5" t="s">
        <v>332</v>
      </c>
      <c r="E108" s="5" t="s">
        <v>333</v>
      </c>
      <c r="F108" s="1" t="s">
        <v>24</v>
      </c>
      <c r="G108" s="5"/>
      <c r="H108" s="2"/>
      <c r="I108" s="2"/>
      <c r="J108" s="2"/>
      <c r="K108" s="2"/>
      <c r="L108" s="2"/>
      <c r="M108" s="2"/>
      <c r="N108" s="2"/>
      <c r="O108" s="2"/>
      <c r="P108" s="2"/>
      <c r="Q108" s="2"/>
      <c r="R108" s="2"/>
      <c r="S108" s="2"/>
      <c r="T108" s="2"/>
      <c r="U108" s="2"/>
      <c r="V108" s="2"/>
      <c r="W108" s="2"/>
      <c r="X108" s="2"/>
    </row>
    <row r="109" spans="1:24" ht="47.25" x14ac:dyDescent="0.2">
      <c r="A109" s="16" t="str">
        <f>$C$4&amp;"-"&amp;TEXT(COUNTA($E$15:E109),"00")</f>
        <v>TC-90</v>
      </c>
      <c r="B109" s="31"/>
      <c r="C109" s="5" t="s">
        <v>334</v>
      </c>
      <c r="D109" s="5" t="s">
        <v>335</v>
      </c>
      <c r="E109" s="5" t="s">
        <v>336</v>
      </c>
      <c r="F109" s="1" t="s">
        <v>24</v>
      </c>
      <c r="G109" s="5"/>
      <c r="H109" s="2"/>
      <c r="I109" s="2"/>
      <c r="J109" s="2"/>
      <c r="K109" s="2"/>
      <c r="L109" s="2"/>
      <c r="M109" s="2"/>
      <c r="N109" s="2"/>
      <c r="O109" s="2"/>
      <c r="P109" s="2"/>
      <c r="Q109" s="2"/>
      <c r="R109" s="2"/>
      <c r="S109" s="2"/>
      <c r="T109" s="2"/>
      <c r="U109" s="2"/>
      <c r="V109" s="2"/>
      <c r="W109" s="2"/>
      <c r="X109" s="2"/>
    </row>
    <row r="110" spans="1:24" ht="31.5" x14ac:dyDescent="0.2">
      <c r="A110" s="16" t="str">
        <f>$C$4&amp;"-"&amp;TEXT(COUNTA($E$15:E110),"00")</f>
        <v>TC-91</v>
      </c>
      <c r="B110" s="31"/>
      <c r="C110" s="5" t="s">
        <v>337</v>
      </c>
      <c r="D110" s="5" t="s">
        <v>338</v>
      </c>
      <c r="E110" s="5" t="s">
        <v>339</v>
      </c>
      <c r="F110" s="1" t="s">
        <v>24</v>
      </c>
      <c r="G110" s="5"/>
      <c r="H110" s="2"/>
      <c r="I110" s="2"/>
      <c r="J110" s="2"/>
      <c r="K110" s="2"/>
      <c r="L110" s="2"/>
      <c r="M110" s="2"/>
      <c r="N110" s="2"/>
      <c r="O110" s="2"/>
      <c r="P110" s="2"/>
      <c r="Q110" s="2"/>
      <c r="R110" s="2"/>
      <c r="S110" s="2"/>
      <c r="T110" s="2"/>
      <c r="U110" s="2"/>
      <c r="V110" s="2"/>
      <c r="W110" s="2"/>
      <c r="X110" s="2"/>
    </row>
    <row r="111" spans="1:24" ht="31.5" x14ac:dyDescent="0.2">
      <c r="A111" s="16" t="str">
        <f>$C$4&amp;"-"&amp;TEXT(COUNTA($E$15:E111),"00")</f>
        <v>TC-92</v>
      </c>
      <c r="B111" s="31"/>
      <c r="C111" s="5" t="s">
        <v>340</v>
      </c>
      <c r="D111" s="5" t="s">
        <v>341</v>
      </c>
      <c r="E111" s="5" t="s">
        <v>342</v>
      </c>
      <c r="F111" s="1" t="s">
        <v>24</v>
      </c>
      <c r="G111" s="5"/>
      <c r="H111" s="2"/>
      <c r="I111" s="2"/>
      <c r="J111" s="2"/>
      <c r="K111" s="2"/>
      <c r="L111" s="2"/>
      <c r="M111" s="2"/>
      <c r="N111" s="2"/>
      <c r="O111" s="2"/>
      <c r="P111" s="2"/>
      <c r="Q111" s="2"/>
      <c r="R111" s="2"/>
      <c r="S111" s="2"/>
      <c r="T111" s="2"/>
      <c r="U111" s="2"/>
      <c r="V111" s="2"/>
      <c r="W111" s="2"/>
      <c r="X111" s="2"/>
    </row>
    <row r="112" spans="1:24" ht="31.5" x14ac:dyDescent="0.2">
      <c r="A112" s="16" t="str">
        <f>$C$4&amp;"-"&amp;TEXT(COUNTA($E$15:E112),"00")</f>
        <v>TC-93</v>
      </c>
      <c r="B112" s="32"/>
      <c r="C112" s="5" t="s">
        <v>343</v>
      </c>
      <c r="D112" s="5" t="s">
        <v>344</v>
      </c>
      <c r="E112" s="5" t="s">
        <v>345</v>
      </c>
      <c r="F112" s="1" t="s">
        <v>24</v>
      </c>
      <c r="G112" s="5"/>
      <c r="H112" s="2"/>
      <c r="I112" s="2"/>
      <c r="J112" s="2"/>
      <c r="K112" s="2"/>
      <c r="L112" s="2"/>
      <c r="M112" s="2"/>
      <c r="N112" s="2"/>
      <c r="O112" s="2"/>
      <c r="P112" s="2"/>
      <c r="Q112" s="2"/>
      <c r="R112" s="2"/>
      <c r="S112" s="2"/>
      <c r="T112" s="2"/>
      <c r="U112" s="2"/>
      <c r="V112" s="2"/>
      <c r="W112" s="2"/>
      <c r="X112" s="2"/>
    </row>
    <row r="113" spans="1:24" x14ac:dyDescent="0.2">
      <c r="A113" s="41" t="s">
        <v>346</v>
      </c>
      <c r="B113" s="34"/>
      <c r="C113" s="34"/>
      <c r="D113" s="34"/>
      <c r="E113" s="34"/>
      <c r="F113" s="35"/>
      <c r="G113" s="22"/>
      <c r="H113" s="2"/>
      <c r="I113" s="2"/>
      <c r="J113" s="2"/>
      <c r="K113" s="2"/>
      <c r="L113" s="2"/>
      <c r="M113" s="2"/>
      <c r="N113" s="2"/>
      <c r="O113" s="2"/>
      <c r="P113" s="2"/>
      <c r="Q113" s="2"/>
      <c r="R113" s="2"/>
      <c r="S113" s="2"/>
      <c r="T113" s="2"/>
      <c r="U113" s="2"/>
      <c r="V113" s="2"/>
      <c r="W113" s="2"/>
      <c r="X113" s="2"/>
    </row>
    <row r="114" spans="1:24" ht="57" customHeight="1" x14ac:dyDescent="0.2">
      <c r="A114" s="49" t="s">
        <v>347</v>
      </c>
      <c r="B114" s="34"/>
      <c r="C114" s="34"/>
      <c r="D114" s="34"/>
      <c r="E114" s="34"/>
      <c r="F114" s="34"/>
      <c r="G114" s="35"/>
      <c r="H114" s="14"/>
      <c r="I114" s="14"/>
      <c r="J114" s="14"/>
      <c r="K114" s="14"/>
      <c r="L114" s="14"/>
      <c r="M114" s="14"/>
      <c r="N114" s="14"/>
      <c r="O114" s="14"/>
      <c r="P114" s="14"/>
      <c r="Q114" s="14"/>
      <c r="R114" s="14"/>
      <c r="S114" s="14"/>
      <c r="T114" s="14"/>
      <c r="U114" s="14"/>
      <c r="V114" s="14"/>
      <c r="W114" s="2"/>
      <c r="X114" s="2"/>
    </row>
    <row r="115" spans="1:24" ht="48" customHeight="1" x14ac:dyDescent="0.2">
      <c r="A115" s="23" t="str">
        <f>$C$4&amp;"-"&amp;TEXT(COUNTA($E$15:E115),"00")</f>
        <v>TC-94</v>
      </c>
      <c r="B115" s="30" t="s">
        <v>69</v>
      </c>
      <c r="C115" s="25" t="s">
        <v>348</v>
      </c>
      <c r="D115" s="25" t="s">
        <v>71</v>
      </c>
      <c r="E115" s="25" t="s">
        <v>349</v>
      </c>
      <c r="F115" s="26"/>
      <c r="G115" s="25" t="s">
        <v>350</v>
      </c>
      <c r="H115" s="2"/>
      <c r="I115" s="2"/>
      <c r="J115" s="2"/>
      <c r="K115" s="2"/>
      <c r="L115" s="2"/>
      <c r="M115" s="2"/>
      <c r="N115" s="2"/>
      <c r="O115" s="2"/>
      <c r="P115" s="2"/>
      <c r="Q115" s="2"/>
      <c r="R115" s="2"/>
      <c r="S115" s="2"/>
      <c r="T115" s="2"/>
      <c r="U115" s="2"/>
      <c r="V115" s="2"/>
      <c r="W115" s="2"/>
      <c r="X115" s="2"/>
    </row>
    <row r="116" spans="1:24" ht="80.099999999999994" customHeight="1" x14ac:dyDescent="0.2">
      <c r="A116" s="23" t="str">
        <f>$C$4&amp;"-"&amp;TEXT(COUNTA($E$15:E116),"00")</f>
        <v>TC-95</v>
      </c>
      <c r="B116" s="31"/>
      <c r="C116" s="25" t="s">
        <v>351</v>
      </c>
      <c r="D116" s="25" t="s">
        <v>74</v>
      </c>
      <c r="E116" s="25" t="s">
        <v>352</v>
      </c>
      <c r="F116" s="26"/>
      <c r="G116" s="25" t="s">
        <v>353</v>
      </c>
      <c r="H116" s="2"/>
      <c r="I116" s="2"/>
      <c r="J116" s="2"/>
      <c r="K116" s="2"/>
      <c r="L116" s="2"/>
      <c r="M116" s="2"/>
      <c r="N116" s="2"/>
      <c r="O116" s="2"/>
      <c r="P116" s="2"/>
      <c r="Q116" s="2"/>
      <c r="R116" s="2"/>
      <c r="S116" s="2"/>
      <c r="T116" s="2"/>
      <c r="U116" s="2"/>
      <c r="V116" s="2"/>
      <c r="W116" s="2"/>
      <c r="X116" s="2"/>
    </row>
    <row r="117" spans="1:24" ht="48" customHeight="1" x14ac:dyDescent="0.2">
      <c r="A117" s="23" t="str">
        <f>$C$4&amp;"-"&amp;TEXT(COUNTA($E$15:E117),"00")</f>
        <v>TC-96</v>
      </c>
      <c r="B117" s="32"/>
      <c r="C117" s="25" t="s">
        <v>354</v>
      </c>
      <c r="D117" s="25" t="s">
        <v>355</v>
      </c>
      <c r="E117" s="25" t="s">
        <v>356</v>
      </c>
      <c r="F117" s="26"/>
      <c r="G117" s="25" t="s">
        <v>357</v>
      </c>
      <c r="H117" s="2"/>
      <c r="I117" s="2"/>
      <c r="J117" s="2"/>
      <c r="K117" s="2"/>
      <c r="L117" s="2"/>
      <c r="M117" s="2"/>
      <c r="N117" s="2"/>
      <c r="O117" s="2"/>
      <c r="P117" s="2"/>
      <c r="Q117" s="2"/>
      <c r="R117" s="2"/>
      <c r="S117" s="2"/>
      <c r="T117" s="2"/>
      <c r="U117" s="2"/>
      <c r="V117" s="2"/>
      <c r="W117" s="2"/>
      <c r="X117" s="2"/>
    </row>
    <row r="118" spans="1:24" ht="144" customHeight="1" x14ac:dyDescent="0.2">
      <c r="A118" s="23" t="str">
        <f>$C$4&amp;"-"&amp;TEXT(COUNTA($E$15:E118),"00")</f>
        <v>TC-97</v>
      </c>
      <c r="B118" s="30" t="s">
        <v>358</v>
      </c>
      <c r="C118" s="25" t="s">
        <v>359</v>
      </c>
      <c r="D118" s="25" t="s">
        <v>360</v>
      </c>
      <c r="E118" s="25" t="s">
        <v>361</v>
      </c>
      <c r="F118" s="26"/>
      <c r="G118" s="25" t="s">
        <v>362</v>
      </c>
      <c r="H118" s="2"/>
      <c r="I118" s="2"/>
      <c r="J118" s="2"/>
      <c r="K118" s="2"/>
      <c r="L118" s="2"/>
      <c r="M118" s="2"/>
      <c r="N118" s="2"/>
      <c r="O118" s="2"/>
      <c r="P118" s="2"/>
      <c r="Q118" s="2"/>
      <c r="R118" s="2"/>
      <c r="S118" s="2"/>
      <c r="T118" s="2"/>
      <c r="U118" s="2"/>
      <c r="V118" s="2"/>
      <c r="W118" s="2"/>
      <c r="X118" s="2"/>
    </row>
    <row r="119" spans="1:24" ht="63.95" customHeight="1" x14ac:dyDescent="0.2">
      <c r="A119" s="23" t="str">
        <f>$C$4&amp;"-"&amp;TEXT(COUNTA($E$15:E119),"00")</f>
        <v>TC-98</v>
      </c>
      <c r="B119" s="31"/>
      <c r="C119" s="25" t="s">
        <v>363</v>
      </c>
      <c r="D119" s="25" t="s">
        <v>364</v>
      </c>
      <c r="E119" s="25" t="s">
        <v>365</v>
      </c>
      <c r="F119" s="26"/>
      <c r="G119" s="25" t="s">
        <v>357</v>
      </c>
      <c r="H119" s="2"/>
      <c r="I119" s="2"/>
      <c r="J119" s="2"/>
      <c r="K119" s="2"/>
      <c r="L119" s="2"/>
      <c r="M119" s="2"/>
      <c r="N119" s="2"/>
      <c r="O119" s="2"/>
      <c r="P119" s="2"/>
      <c r="Q119" s="2"/>
      <c r="R119" s="2"/>
      <c r="S119" s="2"/>
      <c r="T119" s="2"/>
      <c r="U119" s="2"/>
      <c r="V119" s="2"/>
      <c r="W119" s="2"/>
      <c r="X119" s="2"/>
    </row>
    <row r="120" spans="1:24" ht="48" customHeight="1" x14ac:dyDescent="0.2">
      <c r="A120" s="23" t="str">
        <f>$C$4&amp;"-"&amp;TEXT(COUNTA($E$15:E120),"00")</f>
        <v>TC-99</v>
      </c>
      <c r="B120" s="31"/>
      <c r="C120" s="25" t="s">
        <v>366</v>
      </c>
      <c r="D120" s="25" t="s">
        <v>367</v>
      </c>
      <c r="E120" s="25" t="s">
        <v>368</v>
      </c>
      <c r="F120" s="26"/>
      <c r="G120" s="25" t="s">
        <v>369</v>
      </c>
      <c r="H120" s="2"/>
      <c r="I120" s="2"/>
      <c r="J120" s="2"/>
      <c r="K120" s="2"/>
      <c r="L120" s="2"/>
      <c r="M120" s="2"/>
      <c r="N120" s="2"/>
      <c r="O120" s="2"/>
      <c r="P120" s="2"/>
      <c r="Q120" s="2"/>
      <c r="R120" s="2"/>
      <c r="S120" s="2"/>
      <c r="T120" s="2"/>
      <c r="U120" s="2"/>
      <c r="V120" s="2"/>
      <c r="W120" s="2"/>
      <c r="X120" s="2"/>
    </row>
    <row r="121" spans="1:24" ht="48" customHeight="1" x14ac:dyDescent="0.2">
      <c r="A121" s="23" t="str">
        <f>$C$4&amp;"-"&amp;TEXT(COUNTA($E$15:E121),"00")</f>
        <v>TC-100</v>
      </c>
      <c r="B121" s="31"/>
      <c r="C121" s="25" t="s">
        <v>370</v>
      </c>
      <c r="D121" s="25" t="s">
        <v>371</v>
      </c>
      <c r="E121" s="25" t="s">
        <v>372</v>
      </c>
      <c r="F121" s="26"/>
      <c r="G121" s="25" t="s">
        <v>362</v>
      </c>
      <c r="H121" s="2"/>
      <c r="I121" s="2"/>
      <c r="J121" s="2"/>
      <c r="K121" s="2"/>
      <c r="L121" s="2"/>
      <c r="M121" s="2"/>
      <c r="N121" s="2"/>
      <c r="O121" s="2"/>
      <c r="P121" s="2"/>
      <c r="Q121" s="2"/>
      <c r="R121" s="2"/>
      <c r="S121" s="2"/>
      <c r="T121" s="2"/>
      <c r="U121" s="2"/>
      <c r="V121" s="2"/>
      <c r="W121" s="2"/>
      <c r="X121" s="2"/>
    </row>
    <row r="122" spans="1:24" ht="128.1" customHeight="1" x14ac:dyDescent="0.2">
      <c r="A122" s="23" t="str">
        <f>$C$4&amp;"-"&amp;TEXT(COUNTA($E$15:E122),"00")</f>
        <v>TC-101</v>
      </c>
      <c r="B122" s="31"/>
      <c r="C122" s="25" t="s">
        <v>373</v>
      </c>
      <c r="D122" s="25" t="s">
        <v>374</v>
      </c>
      <c r="E122" s="25" t="s">
        <v>375</v>
      </c>
      <c r="F122" s="26"/>
      <c r="G122" s="25" t="s">
        <v>376</v>
      </c>
      <c r="H122" s="2"/>
      <c r="I122" s="2"/>
      <c r="J122" s="2"/>
      <c r="K122" s="2"/>
      <c r="L122" s="2"/>
      <c r="M122" s="2"/>
      <c r="N122" s="2"/>
      <c r="O122" s="2"/>
      <c r="P122" s="2"/>
      <c r="Q122" s="2"/>
      <c r="R122" s="2"/>
      <c r="S122" s="2"/>
      <c r="T122" s="2"/>
      <c r="U122" s="2"/>
      <c r="V122" s="2"/>
      <c r="W122" s="2"/>
      <c r="X122" s="2"/>
    </row>
    <row r="123" spans="1:24" ht="32.1" customHeight="1" x14ac:dyDescent="0.2">
      <c r="A123" s="23" t="str">
        <f>$C$4&amp;"-"&amp;TEXT(COUNTA($E$15:E123),"00")</f>
        <v>TC-102</v>
      </c>
      <c r="B123" s="31"/>
      <c r="C123" s="25" t="s">
        <v>377</v>
      </c>
      <c r="D123" s="25" t="s">
        <v>378</v>
      </c>
      <c r="E123" s="25" t="s">
        <v>379</v>
      </c>
      <c r="F123" s="26"/>
      <c r="G123" s="25" t="s">
        <v>362</v>
      </c>
      <c r="H123" s="2"/>
      <c r="I123" s="2"/>
      <c r="J123" s="2"/>
      <c r="K123" s="2"/>
      <c r="L123" s="2"/>
      <c r="M123" s="2"/>
      <c r="N123" s="2"/>
      <c r="O123" s="2"/>
      <c r="P123" s="2"/>
      <c r="Q123" s="2"/>
      <c r="R123" s="2"/>
      <c r="S123" s="2"/>
      <c r="T123" s="2"/>
      <c r="U123" s="2"/>
      <c r="V123" s="2"/>
      <c r="W123" s="2"/>
      <c r="X123" s="2"/>
    </row>
    <row r="124" spans="1:24" ht="32.1" customHeight="1" x14ac:dyDescent="0.2">
      <c r="A124" s="23" t="str">
        <f>$C$4&amp;"-"&amp;TEXT(COUNTA($E$15:E124),"00")</f>
        <v>TC-103</v>
      </c>
      <c r="B124" s="32"/>
      <c r="C124" s="25" t="s">
        <v>380</v>
      </c>
      <c r="D124" s="25" t="s">
        <v>381</v>
      </c>
      <c r="E124" s="25" t="s">
        <v>382</v>
      </c>
      <c r="F124" s="26"/>
      <c r="G124" s="25" t="s">
        <v>357</v>
      </c>
      <c r="H124" s="2"/>
      <c r="I124" s="2"/>
      <c r="J124" s="2"/>
      <c r="K124" s="2"/>
      <c r="L124" s="2"/>
      <c r="M124" s="2"/>
      <c r="N124" s="2"/>
      <c r="O124" s="2"/>
      <c r="P124" s="2"/>
      <c r="Q124" s="2"/>
      <c r="R124" s="2"/>
      <c r="S124" s="2"/>
      <c r="T124" s="2"/>
      <c r="U124" s="2"/>
      <c r="V124" s="2"/>
      <c r="W124" s="2"/>
      <c r="X124" s="2"/>
    </row>
    <row r="125" spans="1:24" ht="48" customHeight="1" x14ac:dyDescent="0.2">
      <c r="A125" s="23" t="str">
        <f>$C$4&amp;"-"&amp;TEXT(COUNTA($E$15:E125),"00")</f>
        <v>TC-104</v>
      </c>
      <c r="B125" s="30" t="s">
        <v>383</v>
      </c>
      <c r="C125" s="25" t="s">
        <v>384</v>
      </c>
      <c r="D125" s="25" t="s">
        <v>385</v>
      </c>
      <c r="E125" s="25" t="s">
        <v>386</v>
      </c>
      <c r="F125" s="26"/>
      <c r="G125" s="25" t="s">
        <v>387</v>
      </c>
      <c r="H125" s="2"/>
      <c r="I125" s="2"/>
      <c r="J125" s="2"/>
      <c r="K125" s="2"/>
      <c r="L125" s="2"/>
      <c r="M125" s="2"/>
      <c r="N125" s="2"/>
      <c r="O125" s="2"/>
      <c r="P125" s="2"/>
      <c r="Q125" s="2"/>
      <c r="R125" s="2"/>
      <c r="S125" s="2"/>
      <c r="T125" s="2"/>
      <c r="U125" s="2"/>
      <c r="V125" s="2"/>
      <c r="W125" s="2"/>
      <c r="X125" s="2"/>
    </row>
    <row r="126" spans="1:24" ht="48" customHeight="1" x14ac:dyDescent="0.2">
      <c r="A126" s="23" t="str">
        <f>$C$4&amp;"-"&amp;TEXT(COUNTA($E$15:E126),"00")</f>
        <v>TC-105</v>
      </c>
      <c r="B126" s="31"/>
      <c r="C126" s="25" t="s">
        <v>388</v>
      </c>
      <c r="D126" s="25" t="s">
        <v>389</v>
      </c>
      <c r="E126" s="25" t="s">
        <v>390</v>
      </c>
      <c r="F126" s="26"/>
      <c r="G126" s="25" t="s">
        <v>387</v>
      </c>
      <c r="H126" s="2"/>
      <c r="I126" s="2"/>
      <c r="J126" s="2"/>
      <c r="K126" s="2"/>
      <c r="L126" s="2"/>
      <c r="M126" s="2"/>
      <c r="N126" s="2"/>
      <c r="O126" s="2"/>
      <c r="P126" s="2"/>
      <c r="Q126" s="2"/>
      <c r="R126" s="2"/>
      <c r="S126" s="2"/>
      <c r="T126" s="2"/>
      <c r="U126" s="2"/>
      <c r="V126" s="2"/>
      <c r="W126" s="2"/>
      <c r="X126" s="2"/>
    </row>
    <row r="127" spans="1:24" ht="63.95" customHeight="1" x14ac:dyDescent="0.2">
      <c r="A127" s="23" t="str">
        <f>$C$4&amp;"-"&amp;TEXT(COUNTA($E$15:E127),"00")</f>
        <v>TC-106</v>
      </c>
      <c r="B127" s="31"/>
      <c r="C127" s="25" t="s">
        <v>391</v>
      </c>
      <c r="D127" s="25" t="s">
        <v>392</v>
      </c>
      <c r="E127" s="25" t="s">
        <v>393</v>
      </c>
      <c r="F127" s="26"/>
      <c r="G127" s="25" t="s">
        <v>394</v>
      </c>
      <c r="H127" s="2"/>
      <c r="I127" s="2"/>
      <c r="J127" s="2"/>
      <c r="K127" s="2"/>
      <c r="L127" s="2"/>
      <c r="M127" s="2"/>
      <c r="N127" s="2"/>
      <c r="O127" s="2"/>
      <c r="P127" s="2"/>
      <c r="Q127" s="2"/>
      <c r="R127" s="2"/>
      <c r="S127" s="2"/>
      <c r="T127" s="2"/>
      <c r="U127" s="2"/>
      <c r="V127" s="2"/>
      <c r="W127" s="2"/>
      <c r="X127" s="2"/>
    </row>
    <row r="128" spans="1:24" ht="48" customHeight="1" x14ac:dyDescent="0.2">
      <c r="A128" s="23" t="str">
        <f>$C$4&amp;"-"&amp;TEXT(COUNTA($E$15:E128),"00")</f>
        <v>TC-107</v>
      </c>
      <c r="B128" s="31"/>
      <c r="C128" s="25" t="s">
        <v>395</v>
      </c>
      <c r="D128" s="25" t="s">
        <v>396</v>
      </c>
      <c r="E128" s="25" t="s">
        <v>397</v>
      </c>
      <c r="F128" s="26"/>
      <c r="G128" s="25" t="s">
        <v>387</v>
      </c>
      <c r="H128" s="2"/>
      <c r="I128" s="2"/>
      <c r="J128" s="2"/>
      <c r="K128" s="2"/>
      <c r="L128" s="2"/>
      <c r="M128" s="2"/>
      <c r="N128" s="2"/>
      <c r="O128" s="2"/>
      <c r="P128" s="2"/>
      <c r="Q128" s="2"/>
      <c r="R128" s="2"/>
      <c r="S128" s="2"/>
      <c r="T128" s="2"/>
      <c r="U128" s="2"/>
      <c r="V128" s="2"/>
      <c r="W128" s="2"/>
      <c r="X128" s="2"/>
    </row>
    <row r="129" spans="1:24" ht="32.1" customHeight="1" x14ac:dyDescent="0.2">
      <c r="A129" s="23" t="str">
        <f>$C$4&amp;"-"&amp;TEXT(COUNTA($E$15:E129),"00")</f>
        <v>TC-108</v>
      </c>
      <c r="B129" s="32"/>
      <c r="C129" s="25" t="s">
        <v>398</v>
      </c>
      <c r="D129" s="25" t="s">
        <v>399</v>
      </c>
      <c r="E129" s="25" t="s">
        <v>400</v>
      </c>
      <c r="F129" s="26"/>
      <c r="G129" s="25" t="s">
        <v>401</v>
      </c>
      <c r="H129" s="2"/>
      <c r="I129" s="2"/>
      <c r="J129" s="2"/>
      <c r="K129" s="2"/>
      <c r="L129" s="2"/>
      <c r="M129" s="2"/>
      <c r="N129" s="2"/>
      <c r="O129" s="2"/>
      <c r="P129" s="2"/>
      <c r="Q129" s="2"/>
      <c r="R129" s="2"/>
      <c r="S129" s="2"/>
      <c r="T129" s="2"/>
      <c r="U129" s="2"/>
      <c r="V129" s="2"/>
      <c r="W129" s="2"/>
      <c r="X129" s="2"/>
    </row>
    <row r="130" spans="1:24" ht="96" customHeight="1" x14ac:dyDescent="0.2">
      <c r="A130" s="23" t="str">
        <f>$C$4&amp;"-"&amp;TEXT(COUNTA($E$15:E130),"00")</f>
        <v>TC-109</v>
      </c>
      <c r="B130" s="30" t="s">
        <v>402</v>
      </c>
      <c r="C130" s="25" t="s">
        <v>403</v>
      </c>
      <c r="D130" s="25" t="s">
        <v>404</v>
      </c>
      <c r="E130" s="25" t="s">
        <v>405</v>
      </c>
      <c r="F130" s="26"/>
      <c r="G130" s="25" t="s">
        <v>406</v>
      </c>
      <c r="H130" s="2"/>
      <c r="I130" s="2"/>
      <c r="J130" s="2"/>
      <c r="K130" s="2"/>
      <c r="L130" s="2"/>
      <c r="M130" s="2"/>
      <c r="N130" s="2"/>
      <c r="O130" s="2"/>
      <c r="P130" s="2"/>
      <c r="Q130" s="2"/>
      <c r="R130" s="2"/>
      <c r="S130" s="2"/>
      <c r="T130" s="2"/>
      <c r="U130" s="2"/>
      <c r="V130" s="2"/>
      <c r="W130" s="2"/>
      <c r="X130" s="2"/>
    </row>
    <row r="131" spans="1:24" ht="48" customHeight="1" x14ac:dyDescent="0.2">
      <c r="A131" s="23" t="str">
        <f>$C$4&amp;"-"&amp;TEXT(COUNTA($E$15:E131),"00")</f>
        <v>TC-110</v>
      </c>
      <c r="B131" s="31"/>
      <c r="C131" s="25" t="s">
        <v>407</v>
      </c>
      <c r="D131" s="25" t="s">
        <v>408</v>
      </c>
      <c r="E131" s="25" t="s">
        <v>409</v>
      </c>
      <c r="F131" s="26"/>
      <c r="G131" s="25" t="s">
        <v>410</v>
      </c>
      <c r="H131" s="2"/>
      <c r="I131" s="2"/>
      <c r="J131" s="2"/>
      <c r="K131" s="2"/>
      <c r="L131" s="2"/>
      <c r="M131" s="2"/>
      <c r="N131" s="2"/>
      <c r="O131" s="2"/>
      <c r="P131" s="2"/>
      <c r="Q131" s="2"/>
      <c r="R131" s="2"/>
      <c r="S131" s="2"/>
      <c r="T131" s="2"/>
      <c r="U131" s="2"/>
      <c r="V131" s="2"/>
      <c r="W131" s="2"/>
      <c r="X131" s="2"/>
    </row>
    <row r="132" spans="1:24" ht="63.95" customHeight="1" x14ac:dyDescent="0.2">
      <c r="A132" s="23" t="str">
        <f>$C$4&amp;"-"&amp;TEXT(COUNTA($E$15:E132),"00")</f>
        <v>TC-111</v>
      </c>
      <c r="B132" s="31"/>
      <c r="C132" s="25" t="s">
        <v>411</v>
      </c>
      <c r="D132" s="25" t="s">
        <v>412</v>
      </c>
      <c r="E132" s="25" t="s">
        <v>413</v>
      </c>
      <c r="F132" s="26"/>
      <c r="G132" s="25" t="s">
        <v>414</v>
      </c>
      <c r="H132" s="2"/>
      <c r="I132" s="2"/>
      <c r="J132" s="2"/>
      <c r="K132" s="2"/>
      <c r="L132" s="2"/>
      <c r="M132" s="2"/>
      <c r="N132" s="2"/>
      <c r="O132" s="2"/>
      <c r="P132" s="2"/>
      <c r="Q132" s="2"/>
      <c r="R132" s="2"/>
      <c r="S132" s="2"/>
      <c r="T132" s="2"/>
      <c r="U132" s="2"/>
      <c r="V132" s="2"/>
      <c r="W132" s="2"/>
      <c r="X132" s="2"/>
    </row>
    <row r="133" spans="1:24" ht="80.099999999999994" customHeight="1" x14ac:dyDescent="0.2">
      <c r="A133" s="23" t="str">
        <f>$C$4&amp;"-"&amp;TEXT(COUNTA($E$15:E133),"00")</f>
        <v>TC-112</v>
      </c>
      <c r="B133" s="31"/>
      <c r="C133" s="25" t="s">
        <v>415</v>
      </c>
      <c r="D133" s="25" t="s">
        <v>416</v>
      </c>
      <c r="E133" s="25" t="s">
        <v>417</v>
      </c>
      <c r="F133" s="26"/>
      <c r="G133" s="25" t="s">
        <v>357</v>
      </c>
      <c r="H133" s="2"/>
      <c r="I133" s="2"/>
      <c r="J133" s="2"/>
      <c r="K133" s="2"/>
      <c r="L133" s="2"/>
      <c r="M133" s="2"/>
      <c r="N133" s="2"/>
      <c r="O133" s="2"/>
      <c r="P133" s="2"/>
      <c r="Q133" s="2"/>
      <c r="R133" s="2"/>
      <c r="S133" s="2"/>
      <c r="T133" s="2"/>
      <c r="U133" s="2"/>
      <c r="V133" s="2"/>
      <c r="W133" s="2"/>
      <c r="X133" s="2"/>
    </row>
    <row r="134" spans="1:24" ht="80.099999999999994" customHeight="1" x14ac:dyDescent="0.2">
      <c r="A134" s="23" t="str">
        <f>$C$4&amp;"-"&amp;TEXT(COUNTA($E$15:E134),"00")</f>
        <v>TC-113</v>
      </c>
      <c r="B134" s="31"/>
      <c r="C134" s="25" t="s">
        <v>418</v>
      </c>
      <c r="D134" s="25" t="s">
        <v>419</v>
      </c>
      <c r="E134" s="25" t="s">
        <v>420</v>
      </c>
      <c r="F134" s="26"/>
      <c r="G134" s="25" t="s">
        <v>421</v>
      </c>
      <c r="H134" s="2"/>
      <c r="I134" s="2"/>
      <c r="J134" s="2"/>
      <c r="K134" s="2"/>
      <c r="L134" s="2"/>
      <c r="M134" s="2"/>
      <c r="N134" s="2"/>
      <c r="O134" s="2"/>
      <c r="P134" s="2"/>
      <c r="Q134" s="2"/>
      <c r="R134" s="2"/>
      <c r="S134" s="2"/>
      <c r="T134" s="2"/>
      <c r="U134" s="2"/>
      <c r="V134" s="2"/>
      <c r="W134" s="2"/>
      <c r="X134" s="2"/>
    </row>
    <row r="135" spans="1:24" ht="48" customHeight="1" x14ac:dyDescent="0.2">
      <c r="A135" s="23" t="str">
        <f>$C$4&amp;"-"&amp;TEXT(COUNTA($E$15:E135),"00")</f>
        <v>TC-114</v>
      </c>
      <c r="B135" s="31"/>
      <c r="C135" s="25" t="s">
        <v>422</v>
      </c>
      <c r="D135" s="25" t="s">
        <v>423</v>
      </c>
      <c r="E135" s="25" t="s">
        <v>424</v>
      </c>
      <c r="F135" s="26"/>
      <c r="G135" s="25" t="s">
        <v>357</v>
      </c>
      <c r="H135" s="2"/>
      <c r="I135" s="2"/>
      <c r="J135" s="2"/>
      <c r="K135" s="2"/>
      <c r="L135" s="2"/>
      <c r="M135" s="2"/>
      <c r="N135" s="2"/>
      <c r="O135" s="2"/>
      <c r="P135" s="2"/>
      <c r="Q135" s="2"/>
      <c r="R135" s="2"/>
      <c r="S135" s="2"/>
      <c r="T135" s="2"/>
      <c r="U135" s="2"/>
      <c r="V135" s="2"/>
      <c r="W135" s="2"/>
      <c r="X135" s="2"/>
    </row>
    <row r="136" spans="1:24" ht="48" customHeight="1" x14ac:dyDescent="0.2">
      <c r="A136" s="23" t="str">
        <f>$C$4&amp;"-"&amp;TEXT(COUNTA($E$15:E136),"00")</f>
        <v>TC-115</v>
      </c>
      <c r="B136" s="31"/>
      <c r="C136" s="25" t="s">
        <v>425</v>
      </c>
      <c r="D136" s="25" t="s">
        <v>426</v>
      </c>
      <c r="E136" s="25" t="s">
        <v>427</v>
      </c>
      <c r="F136" s="26"/>
      <c r="G136" s="25" t="s">
        <v>357</v>
      </c>
      <c r="H136" s="2"/>
      <c r="I136" s="2"/>
      <c r="J136" s="2"/>
      <c r="K136" s="2"/>
      <c r="L136" s="2"/>
      <c r="M136" s="2"/>
      <c r="N136" s="2"/>
      <c r="O136" s="2"/>
      <c r="P136" s="2"/>
      <c r="Q136" s="2"/>
      <c r="R136" s="2"/>
      <c r="S136" s="2"/>
      <c r="T136" s="2"/>
      <c r="U136" s="2"/>
      <c r="V136" s="2"/>
      <c r="W136" s="2"/>
      <c r="X136" s="2"/>
    </row>
    <row r="137" spans="1:24" ht="80.099999999999994" customHeight="1" x14ac:dyDescent="0.2">
      <c r="A137" s="23" t="str">
        <f>$C$4&amp;"-"&amp;TEXT(COUNTA($E$15:E137),"00")</f>
        <v>TC-116</v>
      </c>
      <c r="B137" s="31"/>
      <c r="C137" s="25" t="s">
        <v>428</v>
      </c>
      <c r="D137" s="25" t="s">
        <v>429</v>
      </c>
      <c r="E137" s="25" t="s">
        <v>430</v>
      </c>
      <c r="F137" s="26"/>
      <c r="G137" s="25" t="s">
        <v>431</v>
      </c>
      <c r="H137" s="2"/>
      <c r="I137" s="2"/>
      <c r="J137" s="2"/>
      <c r="K137" s="2"/>
      <c r="L137" s="2"/>
      <c r="M137" s="2"/>
      <c r="N137" s="2"/>
      <c r="O137" s="2"/>
      <c r="P137" s="2"/>
      <c r="Q137" s="2"/>
      <c r="R137" s="2"/>
      <c r="S137" s="2"/>
      <c r="T137" s="2"/>
      <c r="U137" s="2"/>
      <c r="V137" s="2"/>
      <c r="W137" s="2"/>
      <c r="X137" s="2"/>
    </row>
    <row r="138" spans="1:24" ht="63.95" customHeight="1" x14ac:dyDescent="0.2">
      <c r="A138" s="23" t="str">
        <f>$C$4&amp;"-"&amp;TEXT(COUNTA($E$15:E138),"00")</f>
        <v>TC-117</v>
      </c>
      <c r="B138" s="31"/>
      <c r="C138" s="25" t="s">
        <v>432</v>
      </c>
      <c r="D138" s="25" t="s">
        <v>433</v>
      </c>
      <c r="E138" s="25" t="s">
        <v>434</v>
      </c>
      <c r="F138" s="26"/>
      <c r="G138" s="25" t="s">
        <v>435</v>
      </c>
      <c r="H138" s="2"/>
      <c r="I138" s="2"/>
      <c r="J138" s="2"/>
      <c r="K138" s="2"/>
      <c r="L138" s="2"/>
      <c r="M138" s="2"/>
      <c r="N138" s="2"/>
      <c r="O138" s="2"/>
      <c r="P138" s="2"/>
      <c r="Q138" s="2"/>
      <c r="R138" s="2"/>
      <c r="S138" s="2"/>
      <c r="T138" s="2"/>
      <c r="U138" s="2"/>
      <c r="V138" s="2"/>
      <c r="W138" s="2"/>
      <c r="X138" s="2"/>
    </row>
    <row r="139" spans="1:24" ht="96" customHeight="1" x14ac:dyDescent="0.2">
      <c r="A139" s="23" t="str">
        <f>$C$4&amp;"-"&amp;TEXT(COUNTA($E$15:E139),"00")</f>
        <v>TC-118</v>
      </c>
      <c r="B139" s="32"/>
      <c r="C139" s="25" t="s">
        <v>436</v>
      </c>
      <c r="D139" s="25" t="s">
        <v>437</v>
      </c>
      <c r="E139" s="25" t="s">
        <v>438</v>
      </c>
      <c r="F139" s="26"/>
      <c r="G139" s="25" t="s">
        <v>357</v>
      </c>
      <c r="H139" s="2"/>
      <c r="I139" s="2"/>
      <c r="J139" s="2"/>
      <c r="K139" s="2"/>
      <c r="L139" s="2"/>
      <c r="M139" s="2"/>
      <c r="N139" s="2"/>
      <c r="O139" s="2"/>
      <c r="P139" s="2"/>
      <c r="Q139" s="2"/>
      <c r="R139" s="2"/>
      <c r="S139" s="2"/>
      <c r="T139" s="2"/>
      <c r="U139" s="2"/>
      <c r="V139" s="2"/>
      <c r="W139" s="2"/>
      <c r="X139" s="2"/>
    </row>
    <row r="140" spans="1:24" ht="80.099999999999994" customHeight="1" x14ac:dyDescent="0.2">
      <c r="A140" s="23" t="str">
        <f>$C$4&amp;"-"&amp;TEXT(COUNTA($E$15:E140),"00")</f>
        <v>TC-119</v>
      </c>
      <c r="B140" s="30" t="s">
        <v>439</v>
      </c>
      <c r="C140" s="25" t="s">
        <v>440</v>
      </c>
      <c r="D140" s="25" t="s">
        <v>441</v>
      </c>
      <c r="E140" s="25" t="s">
        <v>442</v>
      </c>
      <c r="F140" s="26"/>
      <c r="G140" s="25" t="s">
        <v>443</v>
      </c>
      <c r="H140" s="2"/>
      <c r="I140" s="2"/>
      <c r="J140" s="2"/>
      <c r="K140" s="2"/>
      <c r="L140" s="2"/>
      <c r="M140" s="2"/>
      <c r="N140" s="2"/>
      <c r="O140" s="2"/>
      <c r="P140" s="2"/>
      <c r="Q140" s="2"/>
      <c r="R140" s="2"/>
      <c r="S140" s="2"/>
      <c r="T140" s="2"/>
      <c r="U140" s="2"/>
      <c r="V140" s="2"/>
      <c r="W140" s="2"/>
      <c r="X140" s="2"/>
    </row>
    <row r="141" spans="1:24" ht="48" customHeight="1" x14ac:dyDescent="0.2">
      <c r="A141" s="23" t="str">
        <f>$C$4&amp;"-"&amp;TEXT(COUNTA($E$15:E141),"00")</f>
        <v>TC-120</v>
      </c>
      <c r="B141" s="31"/>
      <c r="C141" s="25" t="s">
        <v>444</v>
      </c>
      <c r="D141" s="25" t="s">
        <v>445</v>
      </c>
      <c r="E141" s="25" t="s">
        <v>446</v>
      </c>
      <c r="F141" s="26"/>
      <c r="G141" s="25" t="s">
        <v>447</v>
      </c>
      <c r="H141" s="2"/>
      <c r="I141" s="2"/>
      <c r="J141" s="2"/>
      <c r="K141" s="2"/>
      <c r="L141" s="2"/>
      <c r="M141" s="2"/>
      <c r="N141" s="2"/>
      <c r="O141" s="2"/>
      <c r="P141" s="2"/>
      <c r="Q141" s="2"/>
      <c r="R141" s="2"/>
      <c r="S141" s="2"/>
      <c r="T141" s="2"/>
      <c r="U141" s="2"/>
      <c r="V141" s="2"/>
      <c r="W141" s="2"/>
      <c r="X141" s="2"/>
    </row>
    <row r="142" spans="1:24" ht="63.95" customHeight="1" x14ac:dyDescent="0.2">
      <c r="A142" s="23" t="str">
        <f>$C$4&amp;"-"&amp;TEXT(COUNTA($E$15:E142),"00")</f>
        <v>TC-121</v>
      </c>
      <c r="B142" s="32"/>
      <c r="C142" s="25" t="s">
        <v>448</v>
      </c>
      <c r="D142" s="25" t="s">
        <v>449</v>
      </c>
      <c r="E142" s="25" t="s">
        <v>450</v>
      </c>
      <c r="F142" s="26"/>
      <c r="G142" s="25" t="s">
        <v>447</v>
      </c>
      <c r="H142" s="2"/>
      <c r="I142" s="2"/>
      <c r="J142" s="2"/>
      <c r="K142" s="2"/>
      <c r="L142" s="2"/>
      <c r="M142" s="2"/>
      <c r="N142" s="2"/>
      <c r="O142" s="2"/>
      <c r="P142" s="2"/>
      <c r="Q142" s="2"/>
      <c r="R142" s="2"/>
      <c r="S142" s="2"/>
      <c r="T142" s="2"/>
      <c r="U142" s="2"/>
      <c r="V142" s="2"/>
      <c r="W142" s="2"/>
      <c r="X142" s="2"/>
    </row>
    <row r="143" spans="1:24" ht="63.95" customHeight="1" x14ac:dyDescent="0.2">
      <c r="A143" s="23" t="str">
        <f>$C$4&amp;"-"&amp;TEXT(COUNTA($E$15:E143),"00")</f>
        <v>TC-122</v>
      </c>
      <c r="B143" s="30" t="s">
        <v>451</v>
      </c>
      <c r="C143" s="25" t="s">
        <v>452</v>
      </c>
      <c r="D143" s="25" t="s">
        <v>453</v>
      </c>
      <c r="E143" s="25" t="s">
        <v>454</v>
      </c>
      <c r="F143" s="26"/>
      <c r="G143" s="25" t="s">
        <v>455</v>
      </c>
      <c r="H143" s="2"/>
      <c r="I143" s="2"/>
      <c r="J143" s="2"/>
      <c r="K143" s="2"/>
      <c r="L143" s="2"/>
      <c r="M143" s="2"/>
      <c r="N143" s="2"/>
      <c r="O143" s="2"/>
      <c r="P143" s="2"/>
      <c r="Q143" s="2"/>
      <c r="R143" s="2"/>
      <c r="S143" s="2"/>
      <c r="T143" s="2"/>
      <c r="U143" s="2"/>
      <c r="V143" s="2"/>
      <c r="W143" s="2"/>
      <c r="X143" s="2"/>
    </row>
    <row r="144" spans="1:24" ht="80.099999999999994" customHeight="1" x14ac:dyDescent="0.2">
      <c r="A144" s="23" t="str">
        <f>$C$4&amp;"-"&amp;TEXT(COUNTA($E$15:E144),"00")</f>
        <v>TC-123</v>
      </c>
      <c r="B144" s="31"/>
      <c r="C144" s="25" t="s">
        <v>456</v>
      </c>
      <c r="D144" s="25" t="s">
        <v>457</v>
      </c>
      <c r="E144" s="25" t="s">
        <v>458</v>
      </c>
      <c r="F144" s="26"/>
      <c r="G144" s="25" t="s">
        <v>447</v>
      </c>
      <c r="H144" s="2"/>
      <c r="I144" s="2"/>
      <c r="J144" s="2"/>
      <c r="K144" s="2"/>
      <c r="L144" s="2"/>
      <c r="M144" s="2"/>
      <c r="N144" s="2"/>
      <c r="O144" s="2"/>
      <c r="P144" s="2"/>
      <c r="Q144" s="2"/>
      <c r="R144" s="2"/>
      <c r="S144" s="2"/>
      <c r="T144" s="2"/>
      <c r="U144" s="2"/>
      <c r="V144" s="2"/>
      <c r="W144" s="2"/>
      <c r="X144" s="2"/>
    </row>
    <row r="145" spans="1:24" ht="80.099999999999994" customHeight="1" x14ac:dyDescent="0.2">
      <c r="A145" s="23" t="str">
        <f>$C$4&amp;"-"&amp;TEXT(COUNTA($E$15:E145),"00")</f>
        <v>TC-124</v>
      </c>
      <c r="B145" s="31"/>
      <c r="C145" s="25" t="s">
        <v>459</v>
      </c>
      <c r="D145" s="25" t="s">
        <v>460</v>
      </c>
      <c r="E145" s="25" t="s">
        <v>461</v>
      </c>
      <c r="F145" s="26"/>
      <c r="G145" s="25" t="s">
        <v>447</v>
      </c>
      <c r="H145" s="2"/>
      <c r="I145" s="2"/>
      <c r="J145" s="2"/>
      <c r="K145" s="2"/>
      <c r="L145" s="2"/>
      <c r="M145" s="2"/>
      <c r="N145" s="2"/>
      <c r="O145" s="2"/>
      <c r="P145" s="2"/>
      <c r="Q145" s="2"/>
      <c r="R145" s="2"/>
      <c r="S145" s="2"/>
      <c r="T145" s="2"/>
      <c r="U145" s="2"/>
      <c r="V145" s="2"/>
      <c r="W145" s="2"/>
      <c r="X145" s="2"/>
    </row>
    <row r="146" spans="1:24" ht="80.099999999999994" customHeight="1" x14ac:dyDescent="0.2">
      <c r="A146" s="23" t="str">
        <f>$C$4&amp;"-"&amp;TEXT(COUNTA($E$15:E146),"00")</f>
        <v>TC-125</v>
      </c>
      <c r="B146" s="31"/>
      <c r="C146" s="25" t="s">
        <v>462</v>
      </c>
      <c r="D146" s="25" t="s">
        <v>463</v>
      </c>
      <c r="E146" s="25" t="s">
        <v>464</v>
      </c>
      <c r="F146" s="26"/>
      <c r="G146" s="25" t="s">
        <v>447</v>
      </c>
      <c r="H146" s="2"/>
      <c r="I146" s="2"/>
      <c r="J146" s="2"/>
      <c r="K146" s="2"/>
      <c r="L146" s="2"/>
      <c r="M146" s="2"/>
      <c r="N146" s="2"/>
      <c r="O146" s="2"/>
      <c r="P146" s="2"/>
      <c r="Q146" s="2"/>
      <c r="R146" s="2"/>
      <c r="S146" s="2"/>
      <c r="T146" s="2"/>
      <c r="U146" s="2"/>
      <c r="V146" s="2"/>
      <c r="W146" s="2"/>
      <c r="X146" s="2"/>
    </row>
    <row r="147" spans="1:24" ht="63.95" customHeight="1" x14ac:dyDescent="0.2">
      <c r="A147" s="23" t="str">
        <f>$C$4&amp;"-"&amp;TEXT(COUNTA($E$15:E147),"00")</f>
        <v>TC-126</v>
      </c>
      <c r="B147" s="31"/>
      <c r="C147" s="25" t="s">
        <v>465</v>
      </c>
      <c r="D147" s="25" t="s">
        <v>466</v>
      </c>
      <c r="E147" s="25" t="s">
        <v>467</v>
      </c>
      <c r="F147" s="26"/>
      <c r="G147" s="25" t="s">
        <v>357</v>
      </c>
      <c r="H147" s="2"/>
      <c r="I147" s="2"/>
      <c r="J147" s="2"/>
      <c r="K147" s="2"/>
      <c r="L147" s="2"/>
      <c r="M147" s="2"/>
      <c r="N147" s="2"/>
      <c r="O147" s="2"/>
      <c r="P147" s="2"/>
      <c r="Q147" s="2"/>
      <c r="R147" s="2"/>
      <c r="S147" s="2"/>
      <c r="T147" s="2"/>
      <c r="U147" s="2"/>
      <c r="V147" s="2"/>
      <c r="W147" s="2"/>
      <c r="X147" s="2"/>
    </row>
    <row r="148" spans="1:24" ht="63.95" customHeight="1" x14ac:dyDescent="0.2">
      <c r="A148" s="23" t="str">
        <f>$C$4&amp;"-"&amp;TEXT(COUNTA($E$15:E148),"00")</f>
        <v>TC-127</v>
      </c>
      <c r="B148" s="31"/>
      <c r="C148" s="25" t="s">
        <v>468</v>
      </c>
      <c r="D148" s="25" t="s">
        <v>469</v>
      </c>
      <c r="E148" s="25" t="s">
        <v>470</v>
      </c>
      <c r="F148" s="26"/>
      <c r="G148" s="25" t="s">
        <v>357</v>
      </c>
      <c r="H148" s="2"/>
      <c r="I148" s="2"/>
      <c r="J148" s="2"/>
      <c r="K148" s="2"/>
      <c r="L148" s="2"/>
      <c r="M148" s="2"/>
      <c r="N148" s="2"/>
      <c r="O148" s="2"/>
      <c r="P148" s="2"/>
      <c r="Q148" s="2"/>
      <c r="R148" s="2"/>
      <c r="S148" s="2"/>
      <c r="T148" s="2"/>
      <c r="U148" s="2"/>
      <c r="V148" s="2"/>
      <c r="W148" s="2"/>
      <c r="X148" s="2"/>
    </row>
    <row r="149" spans="1:24" ht="80.099999999999994" customHeight="1" x14ac:dyDescent="0.2">
      <c r="A149" s="23" t="str">
        <f>$C$4&amp;"-"&amp;TEXT(COUNTA($E$15:E149),"00")</f>
        <v>TC-128</v>
      </c>
      <c r="B149" s="31"/>
      <c r="C149" s="25" t="s">
        <v>471</v>
      </c>
      <c r="D149" s="25" t="s">
        <v>472</v>
      </c>
      <c r="E149" s="25" t="s">
        <v>473</v>
      </c>
      <c r="F149" s="26"/>
      <c r="G149" s="25" t="s">
        <v>357</v>
      </c>
      <c r="H149" s="2"/>
      <c r="I149" s="2"/>
      <c r="J149" s="2"/>
      <c r="K149" s="2"/>
      <c r="L149" s="2"/>
      <c r="M149" s="2"/>
      <c r="N149" s="2"/>
      <c r="O149" s="2"/>
      <c r="P149" s="2"/>
      <c r="Q149" s="2"/>
      <c r="R149" s="2"/>
      <c r="S149" s="2"/>
      <c r="T149" s="2"/>
      <c r="U149" s="2"/>
      <c r="V149" s="2"/>
      <c r="W149" s="2"/>
      <c r="X149" s="2"/>
    </row>
    <row r="150" spans="1:24" ht="80.099999999999994" customHeight="1" x14ac:dyDescent="0.2">
      <c r="A150" s="23" t="str">
        <f>$C$4&amp;"-"&amp;TEXT(COUNTA($E$15:E150),"00")</f>
        <v>TC-129</v>
      </c>
      <c r="B150" s="32"/>
      <c r="C150" s="25" t="s">
        <v>474</v>
      </c>
      <c r="D150" s="25" t="s">
        <v>475</v>
      </c>
      <c r="E150" s="25" t="s">
        <v>476</v>
      </c>
      <c r="F150" s="26"/>
      <c r="G150" s="25" t="s">
        <v>477</v>
      </c>
      <c r="H150" s="2"/>
      <c r="I150" s="2"/>
      <c r="J150" s="2"/>
      <c r="K150" s="2"/>
      <c r="L150" s="2"/>
      <c r="M150" s="2"/>
      <c r="N150" s="2"/>
      <c r="O150" s="2"/>
      <c r="P150" s="2"/>
      <c r="Q150" s="2"/>
      <c r="R150" s="2"/>
      <c r="S150" s="2"/>
      <c r="T150" s="2"/>
      <c r="U150" s="2"/>
      <c r="V150" s="2"/>
      <c r="W150" s="2"/>
      <c r="X150" s="2"/>
    </row>
    <row r="151" spans="1:24" x14ac:dyDescent="0.2">
      <c r="A151" s="41" t="s">
        <v>478</v>
      </c>
      <c r="B151" s="34"/>
      <c r="C151" s="34"/>
      <c r="D151" s="34"/>
      <c r="E151" s="34"/>
      <c r="F151" s="35"/>
      <c r="G151" s="22"/>
      <c r="H151" s="2"/>
      <c r="I151" s="2"/>
      <c r="J151" s="2"/>
      <c r="K151" s="2"/>
      <c r="L151" s="2"/>
      <c r="M151" s="2"/>
      <c r="N151" s="2"/>
      <c r="O151" s="2"/>
      <c r="P151" s="2"/>
      <c r="Q151" s="2"/>
      <c r="R151" s="2"/>
      <c r="S151" s="2"/>
      <c r="T151" s="2"/>
      <c r="U151" s="2"/>
      <c r="V151" s="2"/>
      <c r="W151" s="2"/>
      <c r="X151" s="2"/>
    </row>
    <row r="152" spans="1:24" ht="51.95" customHeight="1" x14ac:dyDescent="0.2">
      <c r="A152" s="49" t="s">
        <v>479</v>
      </c>
      <c r="B152" s="34"/>
      <c r="C152" s="34"/>
      <c r="D152" s="34"/>
      <c r="E152" s="34"/>
      <c r="F152" s="34"/>
      <c r="G152" s="35"/>
      <c r="H152" s="14"/>
      <c r="I152" s="14"/>
      <c r="J152" s="14"/>
      <c r="K152" s="14"/>
      <c r="L152" s="14"/>
      <c r="M152" s="14"/>
      <c r="N152" s="14"/>
      <c r="O152" s="14"/>
      <c r="P152" s="14"/>
      <c r="Q152" s="14"/>
      <c r="R152" s="14"/>
      <c r="S152" s="14"/>
      <c r="T152" s="14"/>
      <c r="U152" s="14"/>
      <c r="V152" s="14"/>
      <c r="W152" s="2"/>
      <c r="X152" s="2"/>
    </row>
    <row r="153" spans="1:24" ht="48" customHeight="1" x14ac:dyDescent="0.2">
      <c r="A153" s="23" t="str">
        <f>$C$4&amp;"-"&amp;TEXT(COUNTA($E$15:E153),"00")</f>
        <v>TC-130</v>
      </c>
      <c r="B153" s="30" t="s">
        <v>77</v>
      </c>
      <c r="C153" s="25" t="s">
        <v>480</v>
      </c>
      <c r="D153" s="25" t="s">
        <v>79</v>
      </c>
      <c r="E153" s="25" t="s">
        <v>481</v>
      </c>
      <c r="F153" s="26"/>
      <c r="G153" s="25" t="s">
        <v>350</v>
      </c>
      <c r="H153" s="2"/>
      <c r="I153" s="2"/>
      <c r="J153" s="2"/>
      <c r="K153" s="2"/>
      <c r="L153" s="2"/>
      <c r="M153" s="2"/>
      <c r="N153" s="2"/>
      <c r="O153" s="2"/>
      <c r="P153" s="2"/>
      <c r="Q153" s="2"/>
      <c r="R153" s="2"/>
      <c r="S153" s="2"/>
      <c r="T153" s="2"/>
      <c r="U153" s="2"/>
      <c r="V153" s="2"/>
      <c r="W153" s="2"/>
      <c r="X153" s="2"/>
    </row>
    <row r="154" spans="1:24" ht="80.099999999999994" customHeight="1" x14ac:dyDescent="0.2">
      <c r="A154" s="23" t="str">
        <f>$C$4&amp;"-"&amp;TEXT(COUNTA($E$15:E154),"00")</f>
        <v>TC-131</v>
      </c>
      <c r="B154" s="31"/>
      <c r="C154" s="25" t="s">
        <v>482</v>
      </c>
      <c r="D154" s="25" t="s">
        <v>82</v>
      </c>
      <c r="E154" s="25" t="s">
        <v>483</v>
      </c>
      <c r="F154" s="26"/>
      <c r="G154" s="25" t="s">
        <v>484</v>
      </c>
      <c r="H154" s="2"/>
      <c r="I154" s="2"/>
      <c r="J154" s="2"/>
      <c r="K154" s="2"/>
      <c r="L154" s="2"/>
      <c r="M154" s="2"/>
      <c r="N154" s="2"/>
      <c r="O154" s="2"/>
      <c r="P154" s="2"/>
      <c r="Q154" s="2"/>
      <c r="R154" s="2"/>
      <c r="S154" s="2"/>
      <c r="T154" s="2"/>
      <c r="U154" s="2"/>
      <c r="V154" s="2"/>
      <c r="W154" s="2"/>
      <c r="X154" s="2"/>
    </row>
    <row r="155" spans="1:24" ht="144" customHeight="1" x14ac:dyDescent="0.2">
      <c r="A155" s="23" t="str">
        <f>$C$4&amp;"-"&amp;TEXT(COUNTA($E$15:E155),"00")</f>
        <v>TC-132</v>
      </c>
      <c r="B155" s="31"/>
      <c r="C155" s="25" t="s">
        <v>485</v>
      </c>
      <c r="D155" s="25" t="s">
        <v>486</v>
      </c>
      <c r="E155" s="25" t="s">
        <v>487</v>
      </c>
      <c r="F155" s="26"/>
      <c r="G155" s="25" t="s">
        <v>362</v>
      </c>
      <c r="H155" s="2"/>
      <c r="I155" s="2"/>
      <c r="J155" s="2"/>
      <c r="K155" s="2"/>
      <c r="L155" s="2"/>
      <c r="M155" s="2"/>
      <c r="N155" s="2"/>
      <c r="O155" s="2"/>
      <c r="P155" s="2"/>
      <c r="Q155" s="2"/>
      <c r="R155" s="2"/>
      <c r="S155" s="2"/>
      <c r="T155" s="2"/>
      <c r="U155" s="2"/>
      <c r="V155" s="2"/>
      <c r="W155" s="2"/>
      <c r="X155" s="2"/>
    </row>
    <row r="156" spans="1:24" ht="32.1" customHeight="1" x14ac:dyDescent="0.2">
      <c r="A156" s="23" t="str">
        <f>$C$4&amp;"-"&amp;TEXT(COUNTA($E$15:E156),"00")</f>
        <v>TC-133</v>
      </c>
      <c r="B156" s="32"/>
      <c r="C156" s="25" t="s">
        <v>488</v>
      </c>
      <c r="D156" s="25" t="s">
        <v>489</v>
      </c>
      <c r="E156" s="25" t="s">
        <v>490</v>
      </c>
      <c r="F156" s="26"/>
      <c r="G156" s="25" t="s">
        <v>357</v>
      </c>
      <c r="H156" s="2"/>
      <c r="I156" s="2"/>
      <c r="J156" s="2"/>
      <c r="K156" s="2"/>
      <c r="L156" s="2"/>
      <c r="M156" s="2"/>
      <c r="N156" s="2"/>
      <c r="O156" s="2"/>
      <c r="P156" s="2"/>
      <c r="Q156" s="2"/>
      <c r="R156" s="2"/>
      <c r="S156" s="2"/>
      <c r="T156" s="2"/>
      <c r="U156" s="2"/>
      <c r="V156" s="2"/>
      <c r="W156" s="2"/>
      <c r="X156" s="2"/>
    </row>
    <row r="157" spans="1:24" ht="128.1" customHeight="1" x14ac:dyDescent="0.2">
      <c r="A157" s="23" t="str">
        <f>$C$4&amp;"-"&amp;TEXT(COUNTA($E$15:E157),"00")</f>
        <v>TC-134</v>
      </c>
      <c r="B157" s="30" t="s">
        <v>491</v>
      </c>
      <c r="C157" s="25" t="s">
        <v>492</v>
      </c>
      <c r="D157" s="25" t="s">
        <v>493</v>
      </c>
      <c r="E157" s="25" t="s">
        <v>494</v>
      </c>
      <c r="F157" s="26"/>
      <c r="G157" s="25" t="s">
        <v>495</v>
      </c>
      <c r="H157" s="2"/>
      <c r="I157" s="2"/>
      <c r="J157" s="2"/>
      <c r="K157" s="2"/>
      <c r="L157" s="2"/>
      <c r="M157" s="2"/>
      <c r="N157" s="2"/>
      <c r="O157" s="2"/>
      <c r="P157" s="2"/>
      <c r="Q157" s="2"/>
      <c r="R157" s="2"/>
      <c r="S157" s="2"/>
      <c r="T157" s="2"/>
      <c r="U157" s="2"/>
      <c r="V157" s="2"/>
      <c r="W157" s="2"/>
      <c r="X157" s="2"/>
    </row>
    <row r="158" spans="1:24" ht="80.099999999999994" customHeight="1" x14ac:dyDescent="0.2">
      <c r="A158" s="23" t="str">
        <f>$C$4&amp;"-"&amp;TEXT(COUNTA($E$15:E158),"00")</f>
        <v>TC-135</v>
      </c>
      <c r="B158" s="31"/>
      <c r="C158" s="25" t="s">
        <v>496</v>
      </c>
      <c r="D158" s="25" t="s">
        <v>497</v>
      </c>
      <c r="E158" s="25" t="s">
        <v>498</v>
      </c>
      <c r="F158" s="26"/>
      <c r="G158" s="25" t="s">
        <v>499</v>
      </c>
      <c r="H158" s="2"/>
      <c r="I158" s="2"/>
      <c r="J158" s="2"/>
      <c r="K158" s="2"/>
      <c r="L158" s="2"/>
      <c r="M158" s="2"/>
      <c r="N158" s="2"/>
      <c r="O158" s="2"/>
      <c r="P158" s="2"/>
      <c r="Q158" s="2"/>
      <c r="R158" s="2"/>
      <c r="S158" s="2"/>
      <c r="T158" s="2"/>
      <c r="U158" s="2"/>
      <c r="V158" s="2"/>
      <c r="W158" s="2"/>
      <c r="X158" s="2"/>
    </row>
    <row r="159" spans="1:24" ht="80.099999999999994" customHeight="1" x14ac:dyDescent="0.2">
      <c r="A159" s="23" t="str">
        <f>$C$4&amp;"-"&amp;TEXT(COUNTA($E$15:E159),"00")</f>
        <v>TC-136</v>
      </c>
      <c r="B159" s="31"/>
      <c r="C159" s="25" t="s">
        <v>500</v>
      </c>
      <c r="D159" s="25" t="s">
        <v>501</v>
      </c>
      <c r="E159" s="25" t="s">
        <v>502</v>
      </c>
      <c r="F159" s="26"/>
      <c r="G159" s="25" t="s">
        <v>362</v>
      </c>
      <c r="H159" s="2"/>
      <c r="I159" s="2"/>
      <c r="J159" s="2"/>
      <c r="K159" s="2"/>
      <c r="L159" s="2"/>
      <c r="M159" s="2"/>
      <c r="N159" s="2"/>
      <c r="O159" s="2"/>
      <c r="P159" s="2"/>
      <c r="Q159" s="2"/>
      <c r="R159" s="2"/>
      <c r="S159" s="2"/>
      <c r="T159" s="2"/>
      <c r="U159" s="2"/>
      <c r="V159" s="2"/>
      <c r="W159" s="2"/>
      <c r="X159" s="2"/>
    </row>
    <row r="160" spans="1:24" ht="48" customHeight="1" x14ac:dyDescent="0.2">
      <c r="A160" s="23" t="str">
        <f>$C$4&amp;"-"&amp;TEXT(COUNTA($E$15:E160),"00")</f>
        <v>TC-137</v>
      </c>
      <c r="B160" s="31"/>
      <c r="C160" s="25" t="s">
        <v>503</v>
      </c>
      <c r="D160" s="25" t="s">
        <v>504</v>
      </c>
      <c r="E160" s="25" t="s">
        <v>505</v>
      </c>
      <c r="F160" s="26"/>
      <c r="G160" s="25" t="s">
        <v>362</v>
      </c>
      <c r="H160" s="2"/>
      <c r="I160" s="2"/>
      <c r="J160" s="2"/>
      <c r="K160" s="2"/>
      <c r="L160" s="2"/>
      <c r="M160" s="2"/>
      <c r="N160" s="2"/>
      <c r="O160" s="2"/>
      <c r="P160" s="2"/>
      <c r="Q160" s="2"/>
      <c r="R160" s="2"/>
      <c r="S160" s="2"/>
      <c r="T160" s="2"/>
      <c r="U160" s="2"/>
      <c r="V160" s="2"/>
      <c r="W160" s="2"/>
      <c r="X160" s="2"/>
    </row>
    <row r="161" spans="1:24" ht="48" customHeight="1" x14ac:dyDescent="0.2">
      <c r="A161" s="23" t="str">
        <f>$C$4&amp;"-"&amp;TEXT(COUNTA($E$15:E161),"00")</f>
        <v>TC-138</v>
      </c>
      <c r="B161" s="31"/>
      <c r="C161" s="25" t="s">
        <v>506</v>
      </c>
      <c r="D161" s="25" t="s">
        <v>507</v>
      </c>
      <c r="E161" s="25" t="s">
        <v>508</v>
      </c>
      <c r="F161" s="26"/>
      <c r="G161" s="25" t="s">
        <v>362</v>
      </c>
      <c r="H161" s="2"/>
      <c r="I161" s="2"/>
      <c r="J161" s="2"/>
      <c r="K161" s="2"/>
      <c r="L161" s="2"/>
      <c r="M161" s="2"/>
      <c r="N161" s="2"/>
      <c r="O161" s="2"/>
      <c r="P161" s="2"/>
      <c r="Q161" s="2"/>
      <c r="R161" s="2"/>
      <c r="S161" s="2"/>
      <c r="T161" s="2"/>
      <c r="U161" s="2"/>
      <c r="V161" s="2"/>
      <c r="W161" s="2"/>
      <c r="X161" s="2"/>
    </row>
    <row r="162" spans="1:24" ht="80.099999999999994" customHeight="1" x14ac:dyDescent="0.2">
      <c r="A162" s="23" t="str">
        <f>$C$4&amp;"-"&amp;TEXT(COUNTA($E$15:E162),"00")</f>
        <v>TC-139</v>
      </c>
      <c r="B162" s="32"/>
      <c r="C162" s="25" t="s">
        <v>509</v>
      </c>
      <c r="D162" s="25" t="s">
        <v>510</v>
      </c>
      <c r="E162" s="25" t="s">
        <v>511</v>
      </c>
      <c r="F162" s="26"/>
      <c r="G162" s="25" t="s">
        <v>357</v>
      </c>
      <c r="H162" s="2"/>
      <c r="I162" s="2"/>
      <c r="J162" s="2"/>
      <c r="K162" s="2"/>
      <c r="L162" s="2"/>
      <c r="M162" s="2"/>
      <c r="N162" s="2"/>
      <c r="O162" s="2"/>
      <c r="P162" s="2"/>
      <c r="Q162" s="2"/>
      <c r="R162" s="2"/>
      <c r="S162" s="2"/>
      <c r="T162" s="2"/>
      <c r="U162" s="2"/>
      <c r="V162" s="2"/>
      <c r="W162" s="2"/>
      <c r="X162" s="2"/>
    </row>
    <row r="163" spans="1:24" ht="48" customHeight="1" x14ac:dyDescent="0.2">
      <c r="A163" s="23" t="str">
        <f>$C$4&amp;"-"&amp;TEXT(COUNTA($E$15:E163),"00")</f>
        <v>TC-140</v>
      </c>
      <c r="B163" s="30" t="s">
        <v>512</v>
      </c>
      <c r="C163" s="25" t="s">
        <v>513</v>
      </c>
      <c r="D163" s="25" t="s">
        <v>501</v>
      </c>
      <c r="E163" s="25" t="s">
        <v>514</v>
      </c>
      <c r="F163" s="26"/>
      <c r="G163" s="25" t="s">
        <v>515</v>
      </c>
      <c r="H163" s="2"/>
      <c r="I163" s="2"/>
      <c r="J163" s="2"/>
      <c r="K163" s="2"/>
      <c r="L163" s="2"/>
      <c r="M163" s="2"/>
      <c r="N163" s="2"/>
      <c r="O163" s="2"/>
      <c r="P163" s="2"/>
      <c r="Q163" s="2"/>
      <c r="R163" s="2"/>
      <c r="S163" s="2"/>
      <c r="T163" s="2"/>
      <c r="U163" s="2"/>
      <c r="V163" s="2"/>
      <c r="W163" s="2"/>
      <c r="X163" s="2"/>
    </row>
    <row r="164" spans="1:24" ht="111.95" customHeight="1" x14ac:dyDescent="0.2">
      <c r="A164" s="23" t="str">
        <f>$C$4&amp;"-"&amp;TEXT(COUNTA($E$15:E164),"00")</f>
        <v>TC-141</v>
      </c>
      <c r="B164" s="31"/>
      <c r="C164" s="25" t="s">
        <v>516</v>
      </c>
      <c r="D164" s="25" t="s">
        <v>517</v>
      </c>
      <c r="E164" s="25" t="s">
        <v>518</v>
      </c>
      <c r="F164" s="26"/>
      <c r="G164" s="25" t="s">
        <v>519</v>
      </c>
      <c r="H164" s="2"/>
      <c r="I164" s="2"/>
      <c r="J164" s="2"/>
      <c r="K164" s="2"/>
      <c r="L164" s="2"/>
      <c r="M164" s="2"/>
      <c r="N164" s="2"/>
      <c r="O164" s="2"/>
      <c r="P164" s="2"/>
      <c r="Q164" s="2"/>
      <c r="R164" s="2"/>
      <c r="S164" s="2"/>
      <c r="T164" s="2"/>
      <c r="U164" s="2"/>
      <c r="V164" s="2"/>
      <c r="W164" s="2"/>
      <c r="X164" s="2"/>
    </row>
    <row r="165" spans="1:24" ht="63.95" customHeight="1" x14ac:dyDescent="0.2">
      <c r="A165" s="23" t="str">
        <f>$C$4&amp;"-"&amp;TEXT(COUNTA($E$15:E165),"00")</f>
        <v>TC-142</v>
      </c>
      <c r="B165" s="31"/>
      <c r="C165" s="25" t="s">
        <v>520</v>
      </c>
      <c r="D165" s="25" t="s">
        <v>521</v>
      </c>
      <c r="E165" s="25" t="s">
        <v>522</v>
      </c>
      <c r="F165" s="26"/>
      <c r="G165" s="25" t="s">
        <v>410</v>
      </c>
      <c r="H165" s="2"/>
      <c r="I165" s="2"/>
      <c r="J165" s="2"/>
      <c r="K165" s="2"/>
      <c r="L165" s="2"/>
      <c r="M165" s="2"/>
      <c r="N165" s="2"/>
      <c r="O165" s="2"/>
      <c r="P165" s="2"/>
      <c r="Q165" s="2"/>
      <c r="R165" s="2"/>
      <c r="S165" s="2"/>
      <c r="T165" s="2"/>
      <c r="U165" s="2"/>
      <c r="V165" s="2"/>
      <c r="W165" s="2"/>
      <c r="X165" s="2"/>
    </row>
    <row r="166" spans="1:24" ht="63.95" customHeight="1" x14ac:dyDescent="0.2">
      <c r="A166" s="23" t="str">
        <f>$C$4&amp;"-"&amp;TEXT(COUNTA($E$15:E166),"00")</f>
        <v>TC-143</v>
      </c>
      <c r="B166" s="31"/>
      <c r="C166" s="25" t="s">
        <v>523</v>
      </c>
      <c r="D166" s="25" t="s">
        <v>524</v>
      </c>
      <c r="E166" s="25" t="s">
        <v>525</v>
      </c>
      <c r="F166" s="26"/>
      <c r="G166" s="25" t="s">
        <v>526</v>
      </c>
      <c r="H166" s="2"/>
      <c r="I166" s="2"/>
      <c r="J166" s="2"/>
      <c r="K166" s="2"/>
      <c r="L166" s="2"/>
      <c r="M166" s="2"/>
      <c r="N166" s="2"/>
      <c r="O166" s="2"/>
      <c r="P166" s="2"/>
      <c r="Q166" s="2"/>
      <c r="R166" s="2"/>
      <c r="S166" s="2"/>
      <c r="T166" s="2"/>
      <c r="U166" s="2"/>
      <c r="V166" s="2"/>
      <c r="W166" s="2"/>
      <c r="X166" s="2"/>
    </row>
    <row r="167" spans="1:24" ht="80.099999999999994" customHeight="1" x14ac:dyDescent="0.2">
      <c r="A167" s="23" t="str">
        <f>$C$4&amp;"-"&amp;TEXT(COUNTA($E$15:E167),"00")</f>
        <v>TC-144</v>
      </c>
      <c r="B167" s="31"/>
      <c r="C167" s="25" t="s">
        <v>527</v>
      </c>
      <c r="D167" s="25" t="s">
        <v>528</v>
      </c>
      <c r="E167" s="25" t="s">
        <v>529</v>
      </c>
      <c r="F167" s="26"/>
      <c r="G167" s="25" t="s">
        <v>410</v>
      </c>
      <c r="H167" s="2"/>
      <c r="I167" s="2"/>
      <c r="J167" s="2"/>
      <c r="K167" s="2"/>
      <c r="L167" s="2"/>
      <c r="M167" s="2"/>
      <c r="N167" s="2"/>
      <c r="O167" s="2"/>
      <c r="P167" s="2"/>
      <c r="Q167" s="2"/>
      <c r="R167" s="2"/>
      <c r="S167" s="2"/>
      <c r="T167" s="2"/>
      <c r="U167" s="2"/>
      <c r="V167" s="2"/>
      <c r="W167" s="2"/>
      <c r="X167" s="2"/>
    </row>
    <row r="168" spans="1:24" ht="63.95" customHeight="1" x14ac:dyDescent="0.2">
      <c r="A168" s="23" t="str">
        <f>$C$4&amp;"-"&amp;TEXT(COUNTA($E$15:E168),"00")</f>
        <v>TC-145</v>
      </c>
      <c r="B168" s="31"/>
      <c r="C168" s="25" t="s">
        <v>530</v>
      </c>
      <c r="D168" s="25" t="s">
        <v>531</v>
      </c>
      <c r="E168" s="25" t="s">
        <v>532</v>
      </c>
      <c r="F168" s="26"/>
      <c r="G168" s="25" t="s">
        <v>410</v>
      </c>
      <c r="H168" s="2"/>
      <c r="I168" s="2"/>
      <c r="J168" s="2"/>
      <c r="K168" s="2"/>
      <c r="L168" s="2"/>
      <c r="M168" s="2"/>
      <c r="N168" s="2"/>
      <c r="O168" s="2"/>
      <c r="P168" s="2"/>
      <c r="Q168" s="2"/>
      <c r="R168" s="2"/>
      <c r="S168" s="2"/>
      <c r="T168" s="2"/>
      <c r="U168" s="2"/>
      <c r="V168" s="2"/>
      <c r="W168" s="2"/>
      <c r="X168" s="2"/>
    </row>
    <row r="169" spans="1:24" ht="80.099999999999994" customHeight="1" x14ac:dyDescent="0.2">
      <c r="A169" s="23" t="str">
        <f>$C$4&amp;"-"&amp;TEXT(COUNTA($E$15:E169),"00")</f>
        <v>TC-146</v>
      </c>
      <c r="B169" s="31"/>
      <c r="C169" s="25" t="s">
        <v>533</v>
      </c>
      <c r="D169" s="25" t="s">
        <v>534</v>
      </c>
      <c r="E169" s="25" t="s">
        <v>535</v>
      </c>
      <c r="F169" s="26"/>
      <c r="G169" s="25" t="s">
        <v>536</v>
      </c>
      <c r="H169" s="2"/>
      <c r="I169" s="2"/>
      <c r="J169" s="2"/>
      <c r="K169" s="2"/>
      <c r="L169" s="2"/>
      <c r="M169" s="2"/>
      <c r="N169" s="2"/>
      <c r="O169" s="2"/>
      <c r="P169" s="2"/>
      <c r="Q169" s="2"/>
      <c r="R169" s="2"/>
      <c r="S169" s="2"/>
      <c r="T169" s="2"/>
      <c r="U169" s="2"/>
      <c r="V169" s="2"/>
      <c r="W169" s="2"/>
      <c r="X169" s="2"/>
    </row>
    <row r="170" spans="1:24" ht="48" customHeight="1" x14ac:dyDescent="0.2">
      <c r="A170" s="23" t="str">
        <f>$C$4&amp;"-"&amp;TEXT(COUNTA($E$15:E170),"00")</f>
        <v>TC-147</v>
      </c>
      <c r="B170" s="31"/>
      <c r="C170" s="25" t="s">
        <v>537</v>
      </c>
      <c r="D170" s="25" t="s">
        <v>538</v>
      </c>
      <c r="E170" s="25" t="s">
        <v>539</v>
      </c>
      <c r="F170" s="26"/>
      <c r="G170" s="25" t="s">
        <v>540</v>
      </c>
      <c r="H170" s="2"/>
      <c r="I170" s="2"/>
      <c r="J170" s="2"/>
      <c r="K170" s="2"/>
      <c r="L170" s="2"/>
      <c r="M170" s="2"/>
      <c r="N170" s="2"/>
      <c r="O170" s="2"/>
      <c r="P170" s="2"/>
      <c r="Q170" s="2"/>
      <c r="R170" s="2"/>
      <c r="S170" s="2"/>
      <c r="T170" s="2"/>
      <c r="U170" s="2"/>
      <c r="V170" s="2"/>
      <c r="W170" s="2"/>
      <c r="X170" s="2"/>
    </row>
    <row r="171" spans="1:24" ht="80.099999999999994" customHeight="1" x14ac:dyDescent="0.2">
      <c r="A171" s="23" t="str">
        <f>$C$4&amp;"-"&amp;TEXT(COUNTA($E$15:E171),"00")</f>
        <v>TC-148</v>
      </c>
      <c r="B171" s="31"/>
      <c r="C171" s="25" t="s">
        <v>541</v>
      </c>
      <c r="D171" s="25" t="s">
        <v>542</v>
      </c>
      <c r="E171" s="25" t="s">
        <v>543</v>
      </c>
      <c r="F171" s="26"/>
      <c r="G171" s="25" t="s">
        <v>544</v>
      </c>
      <c r="H171" s="2"/>
      <c r="I171" s="2"/>
      <c r="J171" s="2"/>
      <c r="K171" s="2"/>
      <c r="L171" s="2"/>
      <c r="M171" s="2"/>
      <c r="N171" s="2"/>
      <c r="O171" s="2"/>
      <c r="P171" s="2"/>
      <c r="Q171" s="2"/>
      <c r="R171" s="2"/>
      <c r="S171" s="2"/>
      <c r="T171" s="2"/>
      <c r="U171" s="2"/>
      <c r="V171" s="2"/>
      <c r="W171" s="2"/>
      <c r="X171" s="2"/>
    </row>
    <row r="172" spans="1:24" ht="48" customHeight="1" x14ac:dyDescent="0.2">
      <c r="A172" s="23" t="str">
        <f>$C$4&amp;"-"&amp;TEXT(COUNTA($E$15:E172),"00")</f>
        <v>TC-149</v>
      </c>
      <c r="B172" s="32"/>
      <c r="C172" s="25" t="s">
        <v>545</v>
      </c>
      <c r="D172" s="25" t="s">
        <v>546</v>
      </c>
      <c r="E172" s="25" t="s">
        <v>547</v>
      </c>
      <c r="F172" s="26"/>
      <c r="G172" s="25" t="s">
        <v>548</v>
      </c>
      <c r="H172" s="2"/>
      <c r="I172" s="2"/>
      <c r="J172" s="2"/>
      <c r="K172" s="2"/>
      <c r="L172" s="2"/>
      <c r="M172" s="2"/>
      <c r="N172" s="2"/>
      <c r="O172" s="2"/>
      <c r="P172" s="2"/>
      <c r="Q172" s="2"/>
      <c r="R172" s="2"/>
      <c r="S172" s="2"/>
      <c r="T172" s="2"/>
      <c r="U172" s="2"/>
      <c r="V172" s="2"/>
      <c r="W172" s="2"/>
      <c r="X172" s="2"/>
    </row>
    <row r="173" spans="1:24" ht="48" customHeight="1" x14ac:dyDescent="0.2">
      <c r="A173" s="23" t="str">
        <f>$C$4&amp;"-"&amp;TEXT(COUNTA($E$15:E173),"00")</f>
        <v>TC-150</v>
      </c>
      <c r="B173" s="30" t="s">
        <v>549</v>
      </c>
      <c r="C173" s="25" t="s">
        <v>550</v>
      </c>
      <c r="D173" s="25" t="s">
        <v>551</v>
      </c>
      <c r="E173" s="25" t="s">
        <v>552</v>
      </c>
      <c r="F173" s="26"/>
      <c r="G173" s="25" t="s">
        <v>553</v>
      </c>
      <c r="H173" s="2"/>
      <c r="I173" s="2"/>
      <c r="J173" s="2"/>
      <c r="K173" s="2"/>
      <c r="L173" s="2"/>
      <c r="M173" s="2"/>
      <c r="N173" s="2"/>
      <c r="O173" s="2"/>
      <c r="P173" s="2"/>
      <c r="Q173" s="2"/>
      <c r="R173" s="2"/>
      <c r="S173" s="2"/>
      <c r="T173" s="2"/>
      <c r="U173" s="2"/>
      <c r="V173" s="2"/>
      <c r="W173" s="2"/>
      <c r="X173" s="2"/>
    </row>
    <row r="174" spans="1:24" ht="48" customHeight="1" x14ac:dyDescent="0.2">
      <c r="A174" s="23" t="str">
        <f>$C$4&amp;"-"&amp;TEXT(COUNTA($E$15:E174),"00")</f>
        <v>TC-151</v>
      </c>
      <c r="B174" s="31"/>
      <c r="C174" s="25" t="s">
        <v>554</v>
      </c>
      <c r="D174" s="25" t="s">
        <v>555</v>
      </c>
      <c r="E174" s="25" t="s">
        <v>556</v>
      </c>
      <c r="F174" s="26"/>
      <c r="G174" s="25" t="s">
        <v>557</v>
      </c>
      <c r="H174" s="2"/>
      <c r="I174" s="2"/>
      <c r="J174" s="2"/>
      <c r="K174" s="2"/>
      <c r="L174" s="2"/>
      <c r="M174" s="2"/>
      <c r="N174" s="2"/>
      <c r="O174" s="2"/>
      <c r="P174" s="2"/>
      <c r="Q174" s="2"/>
      <c r="R174" s="2"/>
      <c r="S174" s="2"/>
      <c r="T174" s="2"/>
      <c r="U174" s="2"/>
      <c r="V174" s="2"/>
      <c r="W174" s="2"/>
      <c r="X174" s="2"/>
    </row>
    <row r="175" spans="1:24" ht="48" customHeight="1" x14ac:dyDescent="0.2">
      <c r="A175" s="23" t="str">
        <f>$C$4&amp;"-"&amp;TEXT(COUNTA($E$15:E175),"00")</f>
        <v>TC-152</v>
      </c>
      <c r="B175" s="31"/>
      <c r="C175" s="25" t="s">
        <v>558</v>
      </c>
      <c r="D175" s="25" t="s">
        <v>559</v>
      </c>
      <c r="E175" s="25" t="s">
        <v>560</v>
      </c>
      <c r="F175" s="26"/>
      <c r="G175" s="25" t="s">
        <v>561</v>
      </c>
      <c r="H175" s="2"/>
      <c r="I175" s="2"/>
      <c r="J175" s="2"/>
      <c r="K175" s="2"/>
      <c r="L175" s="2"/>
      <c r="M175" s="2"/>
      <c r="N175" s="2"/>
      <c r="O175" s="2"/>
      <c r="P175" s="2"/>
      <c r="Q175" s="2"/>
      <c r="R175" s="2"/>
      <c r="S175" s="2"/>
      <c r="T175" s="2"/>
      <c r="U175" s="2"/>
      <c r="V175" s="2"/>
      <c r="W175" s="2"/>
      <c r="X175" s="2"/>
    </row>
    <row r="176" spans="1:24" ht="48" customHeight="1" x14ac:dyDescent="0.2">
      <c r="A176" s="23" t="str">
        <f>$C$4&amp;"-"&amp;TEXT(COUNTA($E$15:E176),"00")</f>
        <v>TC-153</v>
      </c>
      <c r="B176" s="31"/>
      <c r="C176" s="25" t="s">
        <v>562</v>
      </c>
      <c r="D176" s="25" t="s">
        <v>563</v>
      </c>
      <c r="E176" s="25" t="s">
        <v>564</v>
      </c>
      <c r="F176" s="26"/>
      <c r="G176" s="25" t="s">
        <v>410</v>
      </c>
      <c r="H176" s="2"/>
      <c r="I176" s="2"/>
      <c r="J176" s="2"/>
      <c r="K176" s="2"/>
      <c r="L176" s="2"/>
      <c r="M176" s="2"/>
      <c r="N176" s="2"/>
      <c r="O176" s="2"/>
      <c r="P176" s="2"/>
      <c r="Q176" s="2"/>
      <c r="R176" s="2"/>
      <c r="S176" s="2"/>
      <c r="T176" s="2"/>
      <c r="U176" s="2"/>
      <c r="V176" s="2"/>
      <c r="W176" s="2"/>
      <c r="X176" s="2"/>
    </row>
    <row r="177" spans="1:24" ht="32.1" customHeight="1" x14ac:dyDescent="0.2">
      <c r="A177" s="23" t="str">
        <f>$C$4&amp;"-"&amp;TEXT(COUNTA($E$15:E177),"00")</f>
        <v>TC-154</v>
      </c>
      <c r="B177" s="31"/>
      <c r="C177" s="25" t="s">
        <v>565</v>
      </c>
      <c r="D177" s="25" t="s">
        <v>566</v>
      </c>
      <c r="E177" s="25" t="s">
        <v>567</v>
      </c>
      <c r="F177" s="26"/>
      <c r="G177" s="25" t="s">
        <v>568</v>
      </c>
      <c r="H177" s="2"/>
      <c r="I177" s="2"/>
      <c r="J177" s="2"/>
      <c r="K177" s="2"/>
      <c r="L177" s="2"/>
      <c r="M177" s="2"/>
      <c r="N177" s="2"/>
      <c r="O177" s="2"/>
      <c r="P177" s="2"/>
      <c r="Q177" s="2"/>
      <c r="R177" s="2"/>
      <c r="S177" s="2"/>
      <c r="T177" s="2"/>
      <c r="U177" s="2"/>
      <c r="V177" s="2"/>
      <c r="W177" s="2"/>
      <c r="X177" s="2"/>
    </row>
    <row r="178" spans="1:24" ht="48" customHeight="1" x14ac:dyDescent="0.2">
      <c r="A178" s="23" t="str">
        <f>$C$4&amp;"-"&amp;TEXT(COUNTA($E$15:E178),"00")</f>
        <v>TC-155</v>
      </c>
      <c r="B178" s="31"/>
      <c r="C178" s="25" t="s">
        <v>569</v>
      </c>
      <c r="D178" s="25" t="s">
        <v>570</v>
      </c>
      <c r="E178" s="25" t="s">
        <v>571</v>
      </c>
      <c r="F178" s="26"/>
      <c r="G178" s="25" t="s">
        <v>572</v>
      </c>
      <c r="H178" s="2"/>
      <c r="I178" s="2"/>
      <c r="J178" s="2"/>
      <c r="K178" s="2"/>
      <c r="L178" s="2"/>
      <c r="M178" s="2"/>
      <c r="N178" s="2"/>
      <c r="O178" s="2"/>
      <c r="P178" s="2"/>
      <c r="Q178" s="2"/>
      <c r="R178" s="2"/>
      <c r="S178" s="2"/>
      <c r="T178" s="2"/>
      <c r="U178" s="2"/>
      <c r="V178" s="2"/>
      <c r="W178" s="2"/>
      <c r="X178" s="2"/>
    </row>
    <row r="179" spans="1:24" ht="63.95" customHeight="1" x14ac:dyDescent="0.2">
      <c r="A179" s="23" t="str">
        <f>$C$4&amp;"-"&amp;TEXT(COUNTA($E$15:E179),"00")</f>
        <v>TC-156</v>
      </c>
      <c r="B179" s="31"/>
      <c r="C179" s="25" t="s">
        <v>573</v>
      </c>
      <c r="D179" s="25" t="s">
        <v>574</v>
      </c>
      <c r="E179" s="25" t="s">
        <v>575</v>
      </c>
      <c r="F179" s="26"/>
      <c r="G179" s="25" t="s">
        <v>357</v>
      </c>
      <c r="H179" s="2"/>
      <c r="I179" s="2"/>
      <c r="J179" s="2"/>
      <c r="K179" s="2"/>
      <c r="L179" s="2"/>
      <c r="M179" s="2"/>
      <c r="N179" s="2"/>
      <c r="O179" s="2"/>
      <c r="P179" s="2"/>
      <c r="Q179" s="2"/>
      <c r="R179" s="2"/>
      <c r="S179" s="2"/>
      <c r="T179" s="2"/>
      <c r="U179" s="2"/>
      <c r="V179" s="2"/>
      <c r="W179" s="2"/>
      <c r="X179" s="2"/>
    </row>
    <row r="180" spans="1:24" ht="63.95" customHeight="1" x14ac:dyDescent="0.2">
      <c r="A180" s="23" t="str">
        <f>$C$4&amp;"-"&amp;TEXT(COUNTA($E$15:E180),"00")</f>
        <v>TC-157</v>
      </c>
      <c r="B180" s="31"/>
      <c r="C180" s="25" t="s">
        <v>576</v>
      </c>
      <c r="D180" s="25" t="s">
        <v>577</v>
      </c>
      <c r="E180" s="25" t="s">
        <v>578</v>
      </c>
      <c r="F180" s="26"/>
      <c r="G180" s="25" t="s">
        <v>357</v>
      </c>
      <c r="H180" s="2"/>
      <c r="I180" s="2"/>
      <c r="J180" s="2"/>
      <c r="K180" s="2"/>
      <c r="L180" s="2"/>
      <c r="M180" s="2"/>
      <c r="N180" s="2"/>
      <c r="O180" s="2"/>
      <c r="P180" s="2"/>
      <c r="Q180" s="2"/>
      <c r="R180" s="2"/>
      <c r="S180" s="2"/>
      <c r="T180" s="2"/>
      <c r="U180" s="2"/>
      <c r="V180" s="2"/>
      <c r="W180" s="2"/>
      <c r="X180" s="2"/>
    </row>
    <row r="181" spans="1:24" ht="96" customHeight="1" x14ac:dyDescent="0.2">
      <c r="A181" s="23" t="str">
        <f>$C$4&amp;"-"&amp;TEXT(COUNTA($E$15:E181),"00")</f>
        <v>TC-158</v>
      </c>
      <c r="B181" s="31"/>
      <c r="C181" s="25" t="s">
        <v>579</v>
      </c>
      <c r="D181" s="25" t="s">
        <v>580</v>
      </c>
      <c r="E181" s="25" t="s">
        <v>581</v>
      </c>
      <c r="F181" s="26"/>
      <c r="G181" s="25" t="s">
        <v>357</v>
      </c>
      <c r="H181" s="2"/>
      <c r="I181" s="2"/>
      <c r="J181" s="2"/>
      <c r="K181" s="2"/>
      <c r="L181" s="2"/>
      <c r="M181" s="2"/>
      <c r="N181" s="2"/>
      <c r="O181" s="2"/>
      <c r="P181" s="2"/>
      <c r="Q181" s="2"/>
      <c r="R181" s="2"/>
      <c r="S181" s="2"/>
      <c r="T181" s="2"/>
      <c r="U181" s="2"/>
      <c r="V181" s="2"/>
      <c r="W181" s="2"/>
      <c r="X181" s="2"/>
    </row>
    <row r="182" spans="1:24" ht="80.099999999999994" customHeight="1" x14ac:dyDescent="0.2">
      <c r="A182" s="23" t="str">
        <f>$C$4&amp;"-"&amp;TEXT(COUNTA($E$15:E182),"00")</f>
        <v>TC-159</v>
      </c>
      <c r="B182" s="32"/>
      <c r="C182" s="25" t="s">
        <v>582</v>
      </c>
      <c r="D182" s="25" t="s">
        <v>583</v>
      </c>
      <c r="E182" s="25" t="s">
        <v>584</v>
      </c>
      <c r="F182" s="26"/>
      <c r="G182" s="25" t="s">
        <v>447</v>
      </c>
      <c r="H182" s="2"/>
      <c r="I182" s="2"/>
      <c r="J182" s="2"/>
      <c r="K182" s="2"/>
      <c r="L182" s="2"/>
      <c r="M182" s="2"/>
      <c r="N182" s="2"/>
      <c r="O182" s="2"/>
      <c r="P182" s="2"/>
      <c r="Q182" s="2"/>
      <c r="R182" s="2"/>
      <c r="S182" s="2"/>
      <c r="T182" s="2"/>
      <c r="U182" s="2"/>
      <c r="V182" s="2"/>
      <c r="W182" s="2"/>
      <c r="X182" s="2"/>
    </row>
    <row r="183" spans="1:24" ht="63.95" customHeight="1" x14ac:dyDescent="0.2">
      <c r="A183" s="23" t="str">
        <f>$C$4&amp;"-"&amp;TEXT(COUNTA($E$15:E183),"00")</f>
        <v>TC-160</v>
      </c>
      <c r="B183" s="30" t="s">
        <v>585</v>
      </c>
      <c r="C183" s="25" t="s">
        <v>586</v>
      </c>
      <c r="D183" s="25" t="s">
        <v>587</v>
      </c>
      <c r="E183" s="25" t="s">
        <v>588</v>
      </c>
      <c r="F183" s="26"/>
      <c r="G183" s="25" t="s">
        <v>589</v>
      </c>
      <c r="H183" s="2"/>
      <c r="I183" s="2"/>
      <c r="J183" s="2"/>
      <c r="K183" s="2"/>
      <c r="L183" s="2"/>
      <c r="M183" s="2"/>
      <c r="N183" s="2"/>
      <c r="O183" s="2"/>
      <c r="P183" s="2"/>
      <c r="Q183" s="2"/>
      <c r="R183" s="2"/>
      <c r="S183" s="2"/>
      <c r="T183" s="2"/>
      <c r="U183" s="2"/>
      <c r="V183" s="2"/>
      <c r="W183" s="2"/>
      <c r="X183" s="2"/>
    </row>
    <row r="184" spans="1:24" ht="63.95" customHeight="1" x14ac:dyDescent="0.2">
      <c r="A184" s="23" t="str">
        <f>$C$4&amp;"-"&amp;TEXT(COUNTA($E$15:E184),"00")</f>
        <v>TC-161</v>
      </c>
      <c r="B184" s="31"/>
      <c r="C184" s="25" t="s">
        <v>590</v>
      </c>
      <c r="D184" s="25" t="s">
        <v>591</v>
      </c>
      <c r="E184" s="25" t="s">
        <v>592</v>
      </c>
      <c r="F184" s="26"/>
      <c r="G184" s="25" t="s">
        <v>410</v>
      </c>
      <c r="H184" s="2"/>
      <c r="I184" s="2"/>
      <c r="J184" s="2"/>
      <c r="K184" s="2"/>
      <c r="L184" s="2"/>
      <c r="M184" s="2"/>
      <c r="N184" s="2"/>
      <c r="O184" s="2"/>
      <c r="P184" s="2"/>
      <c r="Q184" s="2"/>
      <c r="R184" s="2"/>
      <c r="S184" s="2"/>
      <c r="T184" s="2"/>
      <c r="U184" s="2"/>
      <c r="V184" s="2"/>
      <c r="W184" s="2"/>
      <c r="X184" s="2"/>
    </row>
    <row r="185" spans="1:24" ht="63.95" customHeight="1" x14ac:dyDescent="0.2">
      <c r="A185" s="23" t="str">
        <f>$C$4&amp;"-"&amp;TEXT(COUNTA($E$15:E185),"00")</f>
        <v>TC-162</v>
      </c>
      <c r="B185" s="31"/>
      <c r="C185" s="25" t="s">
        <v>593</v>
      </c>
      <c r="D185" s="25" t="s">
        <v>594</v>
      </c>
      <c r="E185" s="25" t="s">
        <v>595</v>
      </c>
      <c r="F185" s="26"/>
      <c r="G185" s="25" t="s">
        <v>410</v>
      </c>
      <c r="H185" s="2"/>
      <c r="I185" s="2"/>
      <c r="J185" s="2"/>
      <c r="K185" s="2"/>
      <c r="L185" s="2"/>
      <c r="M185" s="2"/>
      <c r="N185" s="2"/>
      <c r="O185" s="2"/>
      <c r="P185" s="2"/>
      <c r="Q185" s="2"/>
      <c r="R185" s="2"/>
      <c r="S185" s="2"/>
      <c r="T185" s="2"/>
      <c r="U185" s="2"/>
      <c r="V185" s="2"/>
      <c r="W185" s="2"/>
      <c r="X185" s="2"/>
    </row>
    <row r="186" spans="1:24" ht="48" customHeight="1" x14ac:dyDescent="0.2">
      <c r="A186" s="23" t="str">
        <f>$C$4&amp;"-"&amp;TEXT(COUNTA($E$15:E186),"00")</f>
        <v>TC-163</v>
      </c>
      <c r="B186" s="31"/>
      <c r="C186" s="25" t="s">
        <v>596</v>
      </c>
      <c r="D186" s="25" t="s">
        <v>597</v>
      </c>
      <c r="E186" s="25" t="s">
        <v>598</v>
      </c>
      <c r="F186" s="26"/>
      <c r="G186" s="25" t="s">
        <v>599</v>
      </c>
      <c r="H186" s="2"/>
      <c r="I186" s="2"/>
      <c r="J186" s="2"/>
      <c r="K186" s="2"/>
      <c r="L186" s="2"/>
      <c r="M186" s="2"/>
      <c r="N186" s="2"/>
      <c r="O186" s="2"/>
      <c r="P186" s="2"/>
      <c r="Q186" s="2"/>
      <c r="R186" s="2"/>
      <c r="S186" s="2"/>
      <c r="T186" s="2"/>
      <c r="U186" s="2"/>
      <c r="V186" s="2"/>
      <c r="W186" s="2"/>
      <c r="X186" s="2"/>
    </row>
    <row r="187" spans="1:24" ht="48" customHeight="1" x14ac:dyDescent="0.2">
      <c r="A187" s="23" t="str">
        <f>$C$4&amp;"-"&amp;TEXT(COUNTA($E$15:E187),"00")</f>
        <v>TC-164</v>
      </c>
      <c r="B187" s="32"/>
      <c r="C187" s="25" t="s">
        <v>600</v>
      </c>
      <c r="D187" s="25" t="s">
        <v>601</v>
      </c>
      <c r="E187" s="25" t="s">
        <v>602</v>
      </c>
      <c r="F187" s="26"/>
      <c r="G187" s="25" t="s">
        <v>603</v>
      </c>
      <c r="H187" s="2"/>
      <c r="I187" s="2"/>
      <c r="J187" s="2"/>
      <c r="K187" s="2"/>
      <c r="L187" s="2"/>
      <c r="M187" s="2"/>
      <c r="N187" s="2"/>
      <c r="O187" s="2"/>
      <c r="P187" s="2"/>
      <c r="Q187" s="2"/>
      <c r="R187" s="2"/>
      <c r="S187" s="2"/>
      <c r="T187" s="2"/>
      <c r="U187" s="2"/>
      <c r="V187" s="2"/>
      <c r="W187" s="2"/>
      <c r="X187" s="2"/>
    </row>
    <row r="188" spans="1:24" ht="48" customHeight="1" x14ac:dyDescent="0.2">
      <c r="A188" s="23" t="str">
        <f>$C$4&amp;"-"&amp;TEXT(COUNTA($E$15:E188),"00")</f>
        <v>TC-165</v>
      </c>
      <c r="B188" s="30" t="s">
        <v>604</v>
      </c>
      <c r="C188" s="25" t="s">
        <v>605</v>
      </c>
      <c r="D188" s="25" t="s">
        <v>606</v>
      </c>
      <c r="E188" s="25" t="s">
        <v>607</v>
      </c>
      <c r="F188" s="26"/>
      <c r="G188" s="25" t="s">
        <v>608</v>
      </c>
      <c r="H188" s="2"/>
      <c r="I188" s="2"/>
      <c r="J188" s="2"/>
      <c r="K188" s="2"/>
      <c r="L188" s="2"/>
      <c r="M188" s="2"/>
      <c r="N188" s="2"/>
      <c r="O188" s="2"/>
      <c r="P188" s="2"/>
      <c r="Q188" s="2"/>
      <c r="R188" s="2"/>
      <c r="S188" s="2"/>
      <c r="T188" s="2"/>
      <c r="U188" s="2"/>
      <c r="V188" s="2"/>
      <c r="W188" s="2"/>
      <c r="X188" s="2"/>
    </row>
    <row r="189" spans="1:24" ht="63.95" customHeight="1" x14ac:dyDescent="0.2">
      <c r="A189" s="23" t="str">
        <f>$C$4&amp;"-"&amp;TEXT(COUNTA($E$15:E189),"00")</f>
        <v>TC-166</v>
      </c>
      <c r="B189" s="31"/>
      <c r="C189" s="25" t="s">
        <v>609</v>
      </c>
      <c r="D189" s="25" t="s">
        <v>610</v>
      </c>
      <c r="E189" s="25" t="s">
        <v>611</v>
      </c>
      <c r="F189" s="26"/>
      <c r="G189" s="25" t="s">
        <v>410</v>
      </c>
      <c r="H189" s="2"/>
      <c r="I189" s="2"/>
      <c r="J189" s="2"/>
      <c r="K189" s="2"/>
      <c r="L189" s="2"/>
      <c r="M189" s="2"/>
      <c r="N189" s="2"/>
      <c r="O189" s="2"/>
      <c r="P189" s="2"/>
      <c r="Q189" s="2"/>
      <c r="R189" s="2"/>
      <c r="S189" s="2"/>
      <c r="T189" s="2"/>
      <c r="U189" s="2"/>
      <c r="V189" s="2"/>
      <c r="W189" s="2"/>
      <c r="X189" s="2"/>
    </row>
    <row r="190" spans="1:24" ht="63.95" customHeight="1" x14ac:dyDescent="0.2">
      <c r="A190" s="23" t="str">
        <f>$C$4&amp;"-"&amp;TEXT(COUNTA($E$15:E190),"00")</f>
        <v>TC-167</v>
      </c>
      <c r="B190" s="31"/>
      <c r="C190" s="25" t="s">
        <v>612</v>
      </c>
      <c r="D190" s="25" t="s">
        <v>613</v>
      </c>
      <c r="E190" s="25" t="s">
        <v>614</v>
      </c>
      <c r="F190" s="26"/>
      <c r="G190" s="25" t="s">
        <v>410</v>
      </c>
      <c r="H190" s="2"/>
      <c r="I190" s="2"/>
      <c r="J190" s="2"/>
      <c r="K190" s="2"/>
      <c r="L190" s="2"/>
      <c r="M190" s="2"/>
      <c r="N190" s="2"/>
      <c r="O190" s="2"/>
      <c r="P190" s="2"/>
      <c r="Q190" s="2"/>
      <c r="R190" s="2"/>
      <c r="S190" s="2"/>
      <c r="T190" s="2"/>
      <c r="U190" s="2"/>
      <c r="V190" s="2"/>
      <c r="W190" s="2"/>
      <c r="X190" s="2"/>
    </row>
    <row r="191" spans="1:24" ht="63.95" customHeight="1" x14ac:dyDescent="0.2">
      <c r="A191" s="23" t="str">
        <f>$C$4&amp;"-"&amp;TEXT(COUNTA($E$15:E191),"00")</f>
        <v>TC-168</v>
      </c>
      <c r="B191" s="31"/>
      <c r="C191" s="25" t="s">
        <v>615</v>
      </c>
      <c r="D191" s="25" t="s">
        <v>616</v>
      </c>
      <c r="E191" s="25" t="s">
        <v>617</v>
      </c>
      <c r="F191" s="26"/>
      <c r="G191" s="25" t="s">
        <v>410</v>
      </c>
      <c r="H191" s="2"/>
      <c r="I191" s="2"/>
      <c r="J191" s="2"/>
      <c r="K191" s="2"/>
      <c r="L191" s="2"/>
      <c r="M191" s="2"/>
      <c r="N191" s="2"/>
      <c r="O191" s="2"/>
      <c r="P191" s="2"/>
      <c r="Q191" s="2"/>
      <c r="R191" s="2"/>
      <c r="S191" s="2"/>
      <c r="T191" s="2"/>
      <c r="U191" s="2"/>
      <c r="V191" s="2"/>
      <c r="W191" s="2"/>
      <c r="X191" s="2"/>
    </row>
    <row r="192" spans="1:24" ht="63.95" customHeight="1" x14ac:dyDescent="0.2">
      <c r="A192" s="23" t="str">
        <f>$C$4&amp;"-"&amp;TEXT(COUNTA($E$15:E192),"00")</f>
        <v>TC-169</v>
      </c>
      <c r="B192" s="31"/>
      <c r="C192" s="25" t="s">
        <v>618</v>
      </c>
      <c r="D192" s="25" t="s">
        <v>619</v>
      </c>
      <c r="E192" s="25" t="s">
        <v>620</v>
      </c>
      <c r="F192" s="26"/>
      <c r="G192" s="25" t="s">
        <v>410</v>
      </c>
      <c r="H192" s="2"/>
      <c r="I192" s="2"/>
      <c r="J192" s="2"/>
      <c r="K192" s="2"/>
      <c r="L192" s="2"/>
      <c r="M192" s="2"/>
      <c r="N192" s="2"/>
      <c r="O192" s="2"/>
      <c r="P192" s="2"/>
      <c r="Q192" s="2"/>
      <c r="R192" s="2"/>
      <c r="S192" s="2"/>
      <c r="T192" s="2"/>
      <c r="U192" s="2"/>
      <c r="V192" s="2"/>
      <c r="W192" s="2"/>
      <c r="X192" s="2"/>
    </row>
    <row r="193" spans="1:24" ht="48" customHeight="1" x14ac:dyDescent="0.2">
      <c r="A193" s="23" t="str">
        <f>$C$4&amp;"-"&amp;TEXT(COUNTA($E$15:E193),"00")</f>
        <v>TC-170</v>
      </c>
      <c r="B193" s="31"/>
      <c r="C193" s="25" t="s">
        <v>621</v>
      </c>
      <c r="D193" s="25" t="s">
        <v>622</v>
      </c>
      <c r="E193" s="25" t="s">
        <v>623</v>
      </c>
      <c r="F193" s="26"/>
      <c r="G193" s="25" t="s">
        <v>603</v>
      </c>
      <c r="H193" s="2"/>
      <c r="I193" s="2"/>
      <c r="J193" s="2"/>
      <c r="K193" s="2"/>
      <c r="L193" s="2"/>
      <c r="M193" s="2"/>
      <c r="N193" s="2"/>
      <c r="O193" s="2"/>
      <c r="P193" s="2"/>
      <c r="Q193" s="2"/>
      <c r="R193" s="2"/>
      <c r="S193" s="2"/>
      <c r="T193" s="2"/>
      <c r="U193" s="2"/>
      <c r="V193" s="2"/>
      <c r="W193" s="2"/>
      <c r="X193" s="2"/>
    </row>
    <row r="194" spans="1:24" ht="48" customHeight="1" x14ac:dyDescent="0.2">
      <c r="A194" s="23" t="str">
        <f>$C$4&amp;"-"&amp;TEXT(COUNTA($E$15:E194),"00")</f>
        <v>TC-171</v>
      </c>
      <c r="B194" s="31"/>
      <c r="C194" s="25" t="s">
        <v>624</v>
      </c>
      <c r="D194" s="25" t="s">
        <v>625</v>
      </c>
      <c r="E194" s="25" t="s">
        <v>626</v>
      </c>
      <c r="F194" s="26"/>
      <c r="G194" s="25" t="s">
        <v>627</v>
      </c>
      <c r="H194" s="2"/>
      <c r="I194" s="2"/>
      <c r="J194" s="2"/>
      <c r="K194" s="2"/>
      <c r="L194" s="2"/>
      <c r="M194" s="2"/>
      <c r="N194" s="2"/>
      <c r="O194" s="2"/>
      <c r="P194" s="2"/>
      <c r="Q194" s="2"/>
      <c r="R194" s="2"/>
      <c r="S194" s="2"/>
      <c r="T194" s="2"/>
      <c r="U194" s="2"/>
      <c r="V194" s="2"/>
      <c r="W194" s="2"/>
      <c r="X194" s="2"/>
    </row>
    <row r="195" spans="1:24" ht="128.1" customHeight="1" x14ac:dyDescent="0.2">
      <c r="A195" s="23" t="str">
        <f>$C$4&amp;"-"&amp;TEXT(COUNTA($E$15:E195),"00")</f>
        <v>TC-172</v>
      </c>
      <c r="B195" s="32"/>
      <c r="C195" s="25" t="s">
        <v>628</v>
      </c>
      <c r="D195" s="25" t="s">
        <v>629</v>
      </c>
      <c r="E195" s="25" t="s">
        <v>630</v>
      </c>
      <c r="F195" s="26"/>
      <c r="G195" s="25" t="s">
        <v>631</v>
      </c>
      <c r="H195" s="2"/>
      <c r="I195" s="2"/>
      <c r="J195" s="2"/>
      <c r="K195" s="2"/>
      <c r="L195" s="2"/>
      <c r="M195" s="2"/>
      <c r="N195" s="2"/>
      <c r="O195" s="2"/>
      <c r="P195" s="2"/>
      <c r="Q195" s="2"/>
      <c r="R195" s="2"/>
      <c r="S195" s="2"/>
      <c r="T195" s="2"/>
      <c r="U195" s="2"/>
      <c r="V195" s="2"/>
      <c r="W195" s="2"/>
      <c r="X195" s="2"/>
    </row>
    <row r="196" spans="1:24" ht="63.95" customHeight="1" x14ac:dyDescent="0.2">
      <c r="A196" s="23" t="str">
        <f>$C$4&amp;"-"&amp;TEXT(COUNTA($E$15:E196),"00")</f>
        <v>TC-173</v>
      </c>
      <c r="B196" s="30" t="s">
        <v>632</v>
      </c>
      <c r="C196" s="25" t="s">
        <v>633</v>
      </c>
      <c r="D196" s="25" t="s">
        <v>634</v>
      </c>
      <c r="E196" s="25" t="s">
        <v>635</v>
      </c>
      <c r="F196" s="26"/>
      <c r="G196" s="25" t="s">
        <v>636</v>
      </c>
      <c r="H196" s="2"/>
      <c r="I196" s="2"/>
      <c r="J196" s="2"/>
      <c r="K196" s="2"/>
      <c r="L196" s="2"/>
      <c r="M196" s="2"/>
      <c r="N196" s="2"/>
      <c r="O196" s="2"/>
      <c r="P196" s="2"/>
      <c r="Q196" s="2"/>
      <c r="R196" s="2"/>
      <c r="S196" s="2"/>
      <c r="T196" s="2"/>
      <c r="U196" s="2"/>
      <c r="V196" s="2"/>
      <c r="W196" s="2"/>
      <c r="X196" s="2"/>
    </row>
    <row r="197" spans="1:24" ht="80.099999999999994" customHeight="1" x14ac:dyDescent="0.2">
      <c r="A197" s="23" t="str">
        <f>$C$4&amp;"-"&amp;TEXT(COUNTA($E$15:E197),"00")</f>
        <v>TC-174</v>
      </c>
      <c r="B197" s="31"/>
      <c r="C197" s="25" t="s">
        <v>637</v>
      </c>
      <c r="D197" s="25" t="s">
        <v>638</v>
      </c>
      <c r="E197" s="25" t="s">
        <v>639</v>
      </c>
      <c r="F197" s="26"/>
      <c r="G197" s="25" t="s">
        <v>410</v>
      </c>
      <c r="H197" s="2"/>
      <c r="I197" s="2"/>
      <c r="J197" s="2"/>
      <c r="K197" s="2"/>
      <c r="L197" s="2"/>
      <c r="M197" s="2"/>
      <c r="N197" s="2"/>
      <c r="O197" s="2"/>
      <c r="P197" s="2"/>
      <c r="Q197" s="2"/>
      <c r="R197" s="2"/>
      <c r="S197" s="2"/>
      <c r="T197" s="2"/>
      <c r="U197" s="2"/>
      <c r="V197" s="2"/>
      <c r="W197" s="2"/>
      <c r="X197" s="2"/>
    </row>
    <row r="198" spans="1:24" ht="80.099999999999994" customHeight="1" x14ac:dyDescent="0.2">
      <c r="A198" s="23" t="str">
        <f>$C$4&amp;"-"&amp;TEXT(COUNTA($E$15:E198),"00")</f>
        <v>TC-175</v>
      </c>
      <c r="B198" s="31"/>
      <c r="C198" s="25" t="s">
        <v>640</v>
      </c>
      <c r="D198" s="25" t="s">
        <v>641</v>
      </c>
      <c r="E198" s="25" t="s">
        <v>642</v>
      </c>
      <c r="F198" s="26"/>
      <c r="G198" s="25" t="s">
        <v>410</v>
      </c>
      <c r="H198" s="2"/>
      <c r="I198" s="2"/>
      <c r="J198" s="2"/>
      <c r="K198" s="2"/>
      <c r="L198" s="2"/>
      <c r="M198" s="2"/>
      <c r="N198" s="2"/>
      <c r="O198" s="2"/>
      <c r="P198" s="2"/>
      <c r="Q198" s="2"/>
      <c r="R198" s="2"/>
      <c r="S198" s="2"/>
      <c r="T198" s="2"/>
      <c r="U198" s="2"/>
      <c r="V198" s="2"/>
      <c r="W198" s="2"/>
      <c r="X198" s="2"/>
    </row>
    <row r="199" spans="1:24" ht="80.099999999999994" customHeight="1" x14ac:dyDescent="0.2">
      <c r="A199" s="23" t="str">
        <f>$C$4&amp;"-"&amp;TEXT(COUNTA($E$15:E199),"00")</f>
        <v>TC-176</v>
      </c>
      <c r="B199" s="32"/>
      <c r="C199" s="25" t="s">
        <v>643</v>
      </c>
      <c r="D199" s="25" t="s">
        <v>644</v>
      </c>
      <c r="E199" s="25" t="s">
        <v>645</v>
      </c>
      <c r="F199" s="26"/>
      <c r="G199" s="25" t="s">
        <v>646</v>
      </c>
      <c r="H199" s="2"/>
      <c r="I199" s="2"/>
      <c r="J199" s="2"/>
      <c r="K199" s="2"/>
      <c r="L199" s="2"/>
      <c r="M199" s="2"/>
      <c r="N199" s="2"/>
      <c r="O199" s="2"/>
      <c r="P199" s="2"/>
      <c r="Q199" s="2"/>
      <c r="R199" s="2"/>
      <c r="S199" s="2"/>
      <c r="T199" s="2"/>
      <c r="U199" s="2"/>
      <c r="V199" s="2"/>
      <c r="W199" s="2"/>
      <c r="X199" s="2"/>
    </row>
    <row r="200" spans="1:24" ht="80.099999999999994" customHeight="1" x14ac:dyDescent="0.2">
      <c r="A200" s="23" t="str">
        <f>$C$4&amp;"-"&amp;TEXT(COUNTA($E$15:E200),"00")</f>
        <v>TC-177</v>
      </c>
      <c r="B200" s="30" t="s">
        <v>647</v>
      </c>
      <c r="C200" s="25" t="s">
        <v>648</v>
      </c>
      <c r="D200" s="25" t="s">
        <v>649</v>
      </c>
      <c r="E200" s="25" t="s">
        <v>650</v>
      </c>
      <c r="F200" s="26"/>
      <c r="G200" s="25" t="s">
        <v>651</v>
      </c>
      <c r="H200" s="2"/>
      <c r="I200" s="2"/>
      <c r="J200" s="2"/>
      <c r="K200" s="2"/>
      <c r="L200" s="2"/>
      <c r="M200" s="2"/>
      <c r="N200" s="2"/>
      <c r="O200" s="2"/>
      <c r="P200" s="2"/>
      <c r="Q200" s="2"/>
      <c r="R200" s="2"/>
      <c r="S200" s="2"/>
      <c r="T200" s="2"/>
      <c r="U200" s="2"/>
      <c r="V200" s="2"/>
      <c r="W200" s="2"/>
      <c r="X200" s="2"/>
    </row>
    <row r="201" spans="1:24" ht="63.95" customHeight="1" x14ac:dyDescent="0.2">
      <c r="A201" s="23" t="str">
        <f>$C$4&amp;"-"&amp;TEXT(COUNTA($E$15:E201),"00")</f>
        <v>TC-178</v>
      </c>
      <c r="B201" s="31"/>
      <c r="C201" s="25" t="s">
        <v>652</v>
      </c>
      <c r="D201" s="25" t="s">
        <v>653</v>
      </c>
      <c r="E201" s="25" t="s">
        <v>654</v>
      </c>
      <c r="F201" s="26"/>
      <c r="G201" s="25" t="s">
        <v>655</v>
      </c>
      <c r="H201" s="2"/>
      <c r="I201" s="2"/>
      <c r="J201" s="2"/>
      <c r="K201" s="2"/>
      <c r="L201" s="2"/>
      <c r="M201" s="2"/>
      <c r="N201" s="2"/>
      <c r="O201" s="2"/>
      <c r="P201" s="2"/>
      <c r="Q201" s="2"/>
      <c r="R201" s="2"/>
      <c r="S201" s="2"/>
      <c r="T201" s="2"/>
      <c r="U201" s="2"/>
      <c r="V201" s="2"/>
      <c r="W201" s="2"/>
      <c r="X201" s="2"/>
    </row>
    <row r="202" spans="1:24" ht="80.099999999999994" customHeight="1" x14ac:dyDescent="0.2">
      <c r="A202" s="23" t="str">
        <f>$C$4&amp;"-"&amp;TEXT(COUNTA($E$15:E202),"00")</f>
        <v>TC-179</v>
      </c>
      <c r="B202" s="32"/>
      <c r="C202" s="25" t="s">
        <v>656</v>
      </c>
      <c r="D202" s="25" t="s">
        <v>657</v>
      </c>
      <c r="E202" s="25" t="s">
        <v>658</v>
      </c>
      <c r="F202" s="26"/>
      <c r="G202" s="25" t="s">
        <v>659</v>
      </c>
      <c r="H202" s="2"/>
      <c r="I202" s="2"/>
      <c r="J202" s="2"/>
      <c r="K202" s="2"/>
      <c r="L202" s="2"/>
      <c r="M202" s="2"/>
      <c r="N202" s="2"/>
      <c r="O202" s="2"/>
      <c r="P202" s="2"/>
      <c r="Q202" s="2"/>
      <c r="R202" s="2"/>
      <c r="S202" s="2"/>
      <c r="T202" s="2"/>
      <c r="U202" s="2"/>
      <c r="V202" s="2"/>
      <c r="W202" s="2"/>
      <c r="X202" s="2"/>
    </row>
    <row r="203" spans="1:24" ht="111.95" customHeight="1" x14ac:dyDescent="0.2">
      <c r="A203" s="23" t="str">
        <f>$C$4&amp;"-"&amp;TEXT(COUNTA($E$15:E203),"00")</f>
        <v>TC-180</v>
      </c>
      <c r="B203" s="30" t="s">
        <v>660</v>
      </c>
      <c r="C203" s="25" t="s">
        <v>661</v>
      </c>
      <c r="D203" s="25" t="s">
        <v>662</v>
      </c>
      <c r="E203" s="25" t="s">
        <v>663</v>
      </c>
      <c r="F203" s="26"/>
      <c r="G203" s="25" t="s">
        <v>664</v>
      </c>
      <c r="H203" s="2"/>
      <c r="I203" s="2"/>
      <c r="J203" s="2"/>
      <c r="K203" s="2"/>
      <c r="L203" s="2"/>
      <c r="M203" s="2"/>
      <c r="N203" s="2"/>
      <c r="O203" s="2"/>
      <c r="P203" s="2"/>
      <c r="Q203" s="2"/>
      <c r="R203" s="2"/>
      <c r="S203" s="2"/>
      <c r="T203" s="2"/>
      <c r="U203" s="2"/>
      <c r="V203" s="2"/>
      <c r="W203" s="2"/>
      <c r="X203" s="2"/>
    </row>
    <row r="204" spans="1:24" ht="96" customHeight="1" x14ac:dyDescent="0.2">
      <c r="A204" s="23" t="str">
        <f>$C$4&amp;"-"&amp;TEXT(COUNTA($E$15:E204),"00")</f>
        <v>TC-181</v>
      </c>
      <c r="B204" s="31"/>
      <c r="C204" s="25" t="s">
        <v>665</v>
      </c>
      <c r="D204" s="25" t="s">
        <v>666</v>
      </c>
      <c r="E204" s="25" t="s">
        <v>667</v>
      </c>
      <c r="F204" s="26"/>
      <c r="G204" s="25" t="s">
        <v>668</v>
      </c>
      <c r="H204" s="2"/>
      <c r="I204" s="2"/>
      <c r="J204" s="2"/>
      <c r="K204" s="2"/>
      <c r="L204" s="2"/>
      <c r="M204" s="2"/>
      <c r="N204" s="2"/>
      <c r="O204" s="2"/>
      <c r="P204" s="2"/>
      <c r="Q204" s="2"/>
      <c r="R204" s="2"/>
      <c r="S204" s="2"/>
      <c r="T204" s="2"/>
      <c r="U204" s="2"/>
      <c r="V204" s="2"/>
      <c r="W204" s="2"/>
      <c r="X204" s="2"/>
    </row>
    <row r="205" spans="1:24" ht="48" customHeight="1" x14ac:dyDescent="0.2">
      <c r="A205" s="23" t="str">
        <f>$C$4&amp;"-"&amp;TEXT(COUNTA($E$15:E205),"00")</f>
        <v>TC-182</v>
      </c>
      <c r="B205" s="31"/>
      <c r="C205" s="25" t="s">
        <v>669</v>
      </c>
      <c r="D205" s="25" t="s">
        <v>670</v>
      </c>
      <c r="E205" s="25" t="s">
        <v>671</v>
      </c>
      <c r="F205" s="26"/>
      <c r="G205" s="25" t="s">
        <v>672</v>
      </c>
      <c r="H205" s="2"/>
      <c r="I205" s="2"/>
      <c r="J205" s="2"/>
      <c r="K205" s="2"/>
      <c r="L205" s="2"/>
      <c r="M205" s="2"/>
      <c r="N205" s="2"/>
      <c r="O205" s="2"/>
      <c r="P205" s="2"/>
      <c r="Q205" s="2"/>
      <c r="R205" s="2"/>
      <c r="S205" s="2"/>
      <c r="T205" s="2"/>
      <c r="U205" s="2"/>
      <c r="V205" s="2"/>
      <c r="W205" s="2"/>
      <c r="X205" s="2"/>
    </row>
    <row r="206" spans="1:24" ht="80.099999999999994" customHeight="1" x14ac:dyDescent="0.2">
      <c r="A206" s="23" t="str">
        <f>$C$4&amp;"-"&amp;TEXT(COUNTA($E$15:E206),"00")</f>
        <v>TC-183</v>
      </c>
      <c r="B206" s="31"/>
      <c r="C206" s="25" t="s">
        <v>673</v>
      </c>
      <c r="D206" s="25" t="s">
        <v>674</v>
      </c>
      <c r="E206" s="25" t="s">
        <v>675</v>
      </c>
      <c r="F206" s="26"/>
      <c r="G206" s="25" t="s">
        <v>676</v>
      </c>
      <c r="H206" s="2"/>
      <c r="I206" s="2"/>
      <c r="J206" s="2"/>
      <c r="K206" s="2"/>
      <c r="L206" s="2"/>
      <c r="M206" s="2"/>
      <c r="N206" s="2"/>
      <c r="O206" s="2"/>
      <c r="P206" s="2"/>
      <c r="Q206" s="2"/>
      <c r="R206" s="2"/>
      <c r="S206" s="2"/>
      <c r="T206" s="2"/>
      <c r="U206" s="2"/>
      <c r="V206" s="2"/>
      <c r="W206" s="2"/>
      <c r="X206" s="2"/>
    </row>
    <row r="207" spans="1:24" ht="32.1" customHeight="1" x14ac:dyDescent="0.2">
      <c r="A207" s="23" t="str">
        <f>$C$4&amp;"-"&amp;TEXT(COUNTA($E$15:E207),"00")</f>
        <v>TC-184</v>
      </c>
      <c r="B207" s="31"/>
      <c r="C207" s="25" t="s">
        <v>677</v>
      </c>
      <c r="D207" s="25" t="s">
        <v>678</v>
      </c>
      <c r="E207" s="25" t="s">
        <v>679</v>
      </c>
      <c r="F207" s="26"/>
      <c r="G207" s="25" t="s">
        <v>680</v>
      </c>
      <c r="H207" s="2"/>
      <c r="I207" s="2"/>
      <c r="J207" s="2"/>
      <c r="K207" s="2"/>
      <c r="L207" s="2"/>
      <c r="M207" s="2"/>
      <c r="N207" s="2"/>
      <c r="O207" s="2"/>
      <c r="P207" s="2"/>
      <c r="Q207" s="2"/>
      <c r="R207" s="2"/>
      <c r="S207" s="2"/>
      <c r="T207" s="2"/>
      <c r="U207" s="2"/>
      <c r="V207" s="2"/>
      <c r="W207" s="2"/>
      <c r="X207" s="2"/>
    </row>
    <row r="208" spans="1:24" ht="48" customHeight="1" x14ac:dyDescent="0.2">
      <c r="A208" s="23" t="str">
        <f>$C$4&amp;"-"&amp;TEXT(COUNTA($E$15:E208),"00")</f>
        <v>TC-185</v>
      </c>
      <c r="B208" s="32"/>
      <c r="C208" s="25" t="s">
        <v>681</v>
      </c>
      <c r="D208" s="25" t="s">
        <v>682</v>
      </c>
      <c r="E208" s="25" t="s">
        <v>683</v>
      </c>
      <c r="F208" s="26"/>
      <c r="G208" s="25" t="s">
        <v>357</v>
      </c>
      <c r="H208" s="2"/>
      <c r="I208" s="2"/>
      <c r="J208" s="2"/>
      <c r="K208" s="2"/>
      <c r="L208" s="2"/>
      <c r="M208" s="2"/>
      <c r="N208" s="2"/>
      <c r="O208" s="2"/>
      <c r="P208" s="2"/>
      <c r="Q208" s="2"/>
      <c r="R208" s="2"/>
      <c r="S208" s="2"/>
      <c r="T208" s="2"/>
      <c r="U208" s="2"/>
      <c r="V208" s="2"/>
      <c r="W208" s="2"/>
      <c r="X208" s="2"/>
    </row>
    <row r="209" spans="1:24" ht="32.1" customHeight="1" x14ac:dyDescent="0.2">
      <c r="A209" s="23" t="str">
        <f>$C$4&amp;"-"&amp;TEXT(COUNTA($E$15:E209),"00")</f>
        <v>TC-186</v>
      </c>
      <c r="B209" s="30" t="s">
        <v>684</v>
      </c>
      <c r="C209" s="25" t="s">
        <v>685</v>
      </c>
      <c r="D209" s="25" t="s">
        <v>686</v>
      </c>
      <c r="E209" s="25" t="s">
        <v>687</v>
      </c>
      <c r="F209" s="26"/>
      <c r="G209" s="25" t="s">
        <v>688</v>
      </c>
      <c r="H209" s="2"/>
      <c r="I209" s="2"/>
      <c r="J209" s="2"/>
      <c r="K209" s="2"/>
      <c r="L209" s="2"/>
      <c r="M209" s="2"/>
      <c r="N209" s="2"/>
      <c r="O209" s="2"/>
      <c r="P209" s="2"/>
      <c r="Q209" s="2"/>
      <c r="R209" s="2"/>
      <c r="S209" s="2"/>
      <c r="T209" s="2"/>
      <c r="U209" s="2"/>
      <c r="V209" s="2"/>
      <c r="W209" s="2"/>
      <c r="X209" s="2"/>
    </row>
    <row r="210" spans="1:24" ht="80.099999999999994" customHeight="1" x14ac:dyDescent="0.2">
      <c r="A210" s="23" t="str">
        <f>$C$4&amp;"-"&amp;TEXT(COUNTA($E$15:E210),"00")</f>
        <v>TC-187</v>
      </c>
      <c r="B210" s="31"/>
      <c r="C210" s="25" t="s">
        <v>689</v>
      </c>
      <c r="D210" s="25" t="s">
        <v>690</v>
      </c>
      <c r="E210" s="25" t="s">
        <v>691</v>
      </c>
      <c r="F210" s="26"/>
      <c r="G210" s="25" t="s">
        <v>692</v>
      </c>
      <c r="H210" s="2"/>
      <c r="I210" s="2"/>
      <c r="J210" s="2"/>
      <c r="K210" s="2"/>
      <c r="L210" s="2"/>
      <c r="M210" s="2"/>
      <c r="N210" s="2"/>
      <c r="O210" s="2"/>
      <c r="P210" s="2"/>
      <c r="Q210" s="2"/>
      <c r="R210" s="2"/>
      <c r="S210" s="2"/>
      <c r="T210" s="2"/>
      <c r="U210" s="2"/>
      <c r="V210" s="2"/>
      <c r="W210" s="2"/>
      <c r="X210" s="2"/>
    </row>
    <row r="211" spans="1:24" ht="80.099999999999994" customHeight="1" x14ac:dyDescent="0.2">
      <c r="A211" s="23" t="str">
        <f>$C$4&amp;"-"&amp;TEXT(COUNTA($E$15:E211),"00")</f>
        <v>TC-188</v>
      </c>
      <c r="B211" s="32"/>
      <c r="C211" s="25" t="s">
        <v>693</v>
      </c>
      <c r="D211" s="25" t="s">
        <v>694</v>
      </c>
      <c r="E211" s="25" t="s">
        <v>695</v>
      </c>
      <c r="F211" s="26"/>
      <c r="G211" s="25" t="s">
        <v>696</v>
      </c>
      <c r="H211" s="2"/>
      <c r="I211" s="2"/>
      <c r="J211" s="2"/>
      <c r="K211" s="2"/>
      <c r="L211" s="2"/>
      <c r="M211" s="2"/>
      <c r="N211" s="2"/>
      <c r="O211" s="2"/>
      <c r="P211" s="2"/>
      <c r="Q211" s="2"/>
      <c r="R211" s="2"/>
      <c r="S211" s="2"/>
      <c r="T211" s="2"/>
      <c r="U211" s="2"/>
      <c r="V211" s="2"/>
      <c r="W211" s="2"/>
      <c r="X211" s="2"/>
    </row>
    <row r="212" spans="1:24" ht="80.099999999999994" customHeight="1" x14ac:dyDescent="0.2">
      <c r="A212" s="23" t="str">
        <f>$C$4&amp;"-"&amp;TEXT(COUNTA($E$15:E212),"00")</f>
        <v>TC-189</v>
      </c>
      <c r="B212" s="30" t="s">
        <v>697</v>
      </c>
      <c r="C212" s="25" t="s">
        <v>698</v>
      </c>
      <c r="D212" s="25" t="s">
        <v>699</v>
      </c>
      <c r="E212" s="25" t="s">
        <v>700</v>
      </c>
      <c r="F212" s="26"/>
      <c r="G212" s="25" t="s">
        <v>447</v>
      </c>
      <c r="H212" s="2"/>
      <c r="I212" s="2"/>
      <c r="J212" s="2"/>
      <c r="K212" s="2"/>
      <c r="L212" s="2"/>
      <c r="M212" s="2"/>
      <c r="N212" s="2"/>
      <c r="O212" s="2"/>
      <c r="P212" s="2"/>
      <c r="Q212" s="2"/>
      <c r="R212" s="2"/>
      <c r="S212" s="2"/>
      <c r="T212" s="2"/>
      <c r="U212" s="2"/>
      <c r="V212" s="2"/>
      <c r="W212" s="2"/>
      <c r="X212" s="2"/>
    </row>
    <row r="213" spans="1:24" ht="80.099999999999994" customHeight="1" x14ac:dyDescent="0.2">
      <c r="A213" s="23" t="str">
        <f>$C$4&amp;"-"&amp;TEXT(COUNTA($E$15:E213),"00")</f>
        <v>TC-190</v>
      </c>
      <c r="B213" s="31"/>
      <c r="C213" s="25" t="s">
        <v>701</v>
      </c>
      <c r="D213" s="25" t="s">
        <v>702</v>
      </c>
      <c r="E213" s="25" t="s">
        <v>703</v>
      </c>
      <c r="F213" s="26"/>
      <c r="G213" s="25" t="s">
        <v>447</v>
      </c>
      <c r="H213" s="2"/>
      <c r="I213" s="2"/>
      <c r="J213" s="2"/>
      <c r="K213" s="2"/>
      <c r="L213" s="2"/>
      <c r="M213" s="2"/>
      <c r="N213" s="2"/>
      <c r="O213" s="2"/>
      <c r="P213" s="2"/>
      <c r="Q213" s="2"/>
      <c r="R213" s="2"/>
      <c r="S213" s="2"/>
      <c r="T213" s="2"/>
      <c r="U213" s="2"/>
      <c r="V213" s="2"/>
      <c r="W213" s="2"/>
      <c r="X213" s="2"/>
    </row>
    <row r="214" spans="1:24" ht="48" customHeight="1" x14ac:dyDescent="0.2">
      <c r="A214" s="23" t="str">
        <f>$C$4&amp;"-"&amp;TEXT(COUNTA($E$15:E214),"00")</f>
        <v>TC-191</v>
      </c>
      <c r="B214" s="31"/>
      <c r="C214" s="25" t="s">
        <v>704</v>
      </c>
      <c r="D214" s="25" t="s">
        <v>705</v>
      </c>
      <c r="E214" s="25" t="s">
        <v>706</v>
      </c>
      <c r="F214" s="26"/>
      <c r="G214" s="25" t="s">
        <v>707</v>
      </c>
      <c r="H214" s="2"/>
      <c r="I214" s="2"/>
      <c r="J214" s="2"/>
      <c r="K214" s="2"/>
      <c r="L214" s="2"/>
      <c r="M214" s="2"/>
      <c r="N214" s="2"/>
      <c r="O214" s="2"/>
      <c r="P214" s="2"/>
      <c r="Q214" s="2"/>
      <c r="R214" s="2"/>
      <c r="S214" s="2"/>
      <c r="T214" s="2"/>
      <c r="U214" s="2"/>
      <c r="V214" s="2"/>
      <c r="W214" s="2"/>
      <c r="X214" s="2"/>
    </row>
    <row r="215" spans="1:24" ht="80.099999999999994" customHeight="1" x14ac:dyDescent="0.2">
      <c r="A215" s="23" t="str">
        <f>$C$4&amp;"-"&amp;TEXT(COUNTA($E$15:E215),"00")</f>
        <v>TC-192</v>
      </c>
      <c r="B215" s="31"/>
      <c r="C215" s="25" t="s">
        <v>708</v>
      </c>
      <c r="D215" s="25" t="s">
        <v>709</v>
      </c>
      <c r="E215" s="25" t="s">
        <v>710</v>
      </c>
      <c r="F215" s="26"/>
      <c r="G215" s="25" t="s">
        <v>447</v>
      </c>
      <c r="H215" s="2"/>
      <c r="I215" s="2"/>
      <c r="J215" s="2"/>
      <c r="K215" s="2"/>
      <c r="L215" s="2"/>
      <c r="M215" s="2"/>
      <c r="N215" s="2"/>
      <c r="O215" s="2"/>
      <c r="P215" s="2"/>
      <c r="Q215" s="2"/>
      <c r="R215" s="2"/>
      <c r="S215" s="2"/>
      <c r="T215" s="2"/>
      <c r="U215" s="2"/>
      <c r="V215" s="2"/>
      <c r="W215" s="2"/>
      <c r="X215" s="2"/>
    </row>
    <row r="216" spans="1:24" ht="80.099999999999994" customHeight="1" x14ac:dyDescent="0.2">
      <c r="A216" s="23" t="str">
        <f>$C$4&amp;"-"&amp;TEXT(COUNTA($E$15:E216),"00")</f>
        <v>TC-193</v>
      </c>
      <c r="B216" s="32"/>
      <c r="C216" s="25" t="s">
        <v>711</v>
      </c>
      <c r="D216" s="25" t="s">
        <v>712</v>
      </c>
      <c r="E216" s="25" t="s">
        <v>713</v>
      </c>
      <c r="F216" s="26"/>
      <c r="G216" s="25" t="s">
        <v>447</v>
      </c>
      <c r="H216" s="2"/>
      <c r="I216" s="2"/>
      <c r="J216" s="2"/>
      <c r="K216" s="2"/>
      <c r="L216" s="2"/>
      <c r="M216" s="2"/>
      <c r="N216" s="2"/>
      <c r="O216" s="2"/>
      <c r="P216" s="2"/>
      <c r="Q216" s="2"/>
      <c r="R216" s="2"/>
      <c r="S216" s="2"/>
      <c r="T216" s="2"/>
      <c r="U216" s="2"/>
      <c r="V216" s="2"/>
      <c r="W216" s="2"/>
      <c r="X216" s="2"/>
    </row>
    <row r="217" spans="1:24" x14ac:dyDescent="0.2">
      <c r="A217" s="41" t="s">
        <v>714</v>
      </c>
      <c r="B217" s="34"/>
      <c r="C217" s="34"/>
      <c r="D217" s="34"/>
      <c r="E217" s="34"/>
      <c r="F217" s="35"/>
      <c r="G217" s="22"/>
      <c r="H217" s="2"/>
      <c r="I217" s="2"/>
      <c r="J217" s="2"/>
      <c r="K217" s="2"/>
      <c r="L217" s="2"/>
      <c r="M217" s="2"/>
      <c r="N217" s="2"/>
      <c r="O217" s="2"/>
      <c r="P217" s="2"/>
      <c r="Q217" s="2"/>
      <c r="R217" s="2"/>
      <c r="S217" s="2"/>
      <c r="T217" s="2"/>
      <c r="U217" s="2"/>
      <c r="V217" s="2"/>
      <c r="W217" s="2"/>
      <c r="X217" s="2"/>
    </row>
    <row r="218" spans="1:24" ht="96" customHeight="1" x14ac:dyDescent="0.2">
      <c r="A218" s="23" t="str">
        <f>$C$4&amp;"-"&amp;TEXT(COUNTA($E$15:E218),"00")</f>
        <v>TC-194</v>
      </c>
      <c r="B218" s="30" t="s">
        <v>715</v>
      </c>
      <c r="C218" s="25" t="s">
        <v>716</v>
      </c>
      <c r="D218" s="25" t="s">
        <v>717</v>
      </c>
      <c r="E218" s="25" t="s">
        <v>718</v>
      </c>
      <c r="F218" s="26"/>
      <c r="G218" s="25" t="s">
        <v>719</v>
      </c>
      <c r="H218" s="2"/>
      <c r="I218" s="2"/>
      <c r="J218" s="2"/>
      <c r="K218" s="2"/>
      <c r="L218" s="2"/>
      <c r="M218" s="2"/>
      <c r="N218" s="2"/>
      <c r="O218" s="2"/>
      <c r="P218" s="2"/>
      <c r="Q218" s="2"/>
      <c r="R218" s="2"/>
      <c r="S218" s="2"/>
      <c r="T218" s="2"/>
      <c r="U218" s="2"/>
      <c r="V218" s="2"/>
      <c r="W218" s="2"/>
      <c r="X218" s="2"/>
    </row>
    <row r="219" spans="1:24" ht="48" customHeight="1" x14ac:dyDescent="0.2">
      <c r="A219" s="23" t="str">
        <f>$C$4&amp;"-"&amp;TEXT(COUNTA($E$15:E219),"00")</f>
        <v>TC-195</v>
      </c>
      <c r="B219" s="31"/>
      <c r="C219" s="25" t="s">
        <v>720</v>
      </c>
      <c r="D219" s="25" t="s">
        <v>721</v>
      </c>
      <c r="E219" s="25" t="s">
        <v>722</v>
      </c>
      <c r="F219" s="26"/>
      <c r="G219" s="25" t="s">
        <v>723</v>
      </c>
      <c r="H219" s="2"/>
      <c r="I219" s="2"/>
      <c r="J219" s="2"/>
      <c r="K219" s="2"/>
      <c r="L219" s="2"/>
      <c r="M219" s="2"/>
      <c r="N219" s="2"/>
      <c r="O219" s="2"/>
      <c r="P219" s="2"/>
      <c r="Q219" s="2"/>
      <c r="R219" s="2"/>
      <c r="S219" s="2"/>
      <c r="T219" s="2"/>
      <c r="U219" s="2"/>
      <c r="V219" s="2"/>
      <c r="W219" s="2"/>
      <c r="X219" s="2"/>
    </row>
    <row r="220" spans="1:24" ht="48" customHeight="1" x14ac:dyDescent="0.2">
      <c r="A220" s="23" t="str">
        <f>$C$4&amp;"-"&amp;TEXT(COUNTA($E$15:E220),"00")</f>
        <v>TC-196</v>
      </c>
      <c r="B220" s="32"/>
      <c r="C220" s="25" t="s">
        <v>724</v>
      </c>
      <c r="D220" s="25" t="s">
        <v>725</v>
      </c>
      <c r="E220" s="25" t="s">
        <v>726</v>
      </c>
      <c r="F220" s="26"/>
      <c r="G220" s="25" t="s">
        <v>447</v>
      </c>
      <c r="H220" s="2"/>
      <c r="I220" s="2"/>
      <c r="J220" s="2"/>
      <c r="K220" s="2"/>
      <c r="L220" s="2"/>
      <c r="M220" s="2"/>
      <c r="N220" s="2"/>
      <c r="O220" s="2"/>
      <c r="P220" s="2"/>
      <c r="Q220" s="2"/>
      <c r="R220" s="2"/>
      <c r="S220" s="2"/>
      <c r="T220" s="2"/>
      <c r="U220" s="2"/>
      <c r="V220" s="2"/>
      <c r="W220" s="2"/>
      <c r="X220" s="2"/>
    </row>
    <row r="221" spans="1:24" ht="80.099999999999994" customHeight="1" x14ac:dyDescent="0.2">
      <c r="A221" s="23" t="str">
        <f>$C$4&amp;"-"&amp;TEXT(COUNTA($E$15:E221),"00")</f>
        <v>TC-197</v>
      </c>
      <c r="B221" s="24" t="s">
        <v>727</v>
      </c>
      <c r="C221" s="25" t="s">
        <v>728</v>
      </c>
      <c r="D221" s="25" t="s">
        <v>729</v>
      </c>
      <c r="E221" s="25" t="s">
        <v>730</v>
      </c>
      <c r="F221" s="26"/>
      <c r="G221" s="25" t="s">
        <v>731</v>
      </c>
      <c r="H221" s="2"/>
      <c r="I221" s="2"/>
      <c r="J221" s="2"/>
      <c r="K221" s="2"/>
      <c r="L221" s="2"/>
      <c r="M221" s="2"/>
      <c r="N221" s="2"/>
      <c r="O221" s="2"/>
      <c r="P221" s="2"/>
      <c r="Q221" s="2"/>
      <c r="R221" s="2"/>
      <c r="S221" s="2"/>
      <c r="T221" s="2"/>
      <c r="U221" s="2"/>
      <c r="V221" s="2"/>
      <c r="W221" s="2"/>
      <c r="X221" s="2"/>
    </row>
    <row r="222" spans="1:24" ht="48" customHeight="1" x14ac:dyDescent="0.2">
      <c r="A222" s="23" t="str">
        <f>$C$4&amp;"-"&amp;TEXT(COUNTA($E$15:E222),"00")</f>
        <v>TC-198</v>
      </c>
      <c r="B222" s="30" t="s">
        <v>732</v>
      </c>
      <c r="C222" s="25" t="s">
        <v>733</v>
      </c>
      <c r="D222" s="25" t="s">
        <v>734</v>
      </c>
      <c r="E222" s="25" t="s">
        <v>735</v>
      </c>
      <c r="F222" s="26"/>
      <c r="G222" s="25" t="s">
        <v>357</v>
      </c>
      <c r="H222" s="2"/>
      <c r="I222" s="2"/>
      <c r="J222" s="2"/>
      <c r="K222" s="2"/>
      <c r="L222" s="2"/>
      <c r="M222" s="2"/>
      <c r="N222" s="2"/>
      <c r="O222" s="2"/>
      <c r="P222" s="2"/>
      <c r="Q222" s="2"/>
      <c r="R222" s="2"/>
      <c r="S222" s="2"/>
      <c r="T222" s="2"/>
      <c r="U222" s="2"/>
      <c r="V222" s="2"/>
      <c r="W222" s="2"/>
      <c r="X222" s="2"/>
    </row>
    <row r="223" spans="1:24" ht="48" customHeight="1" x14ac:dyDescent="0.2">
      <c r="A223" s="23" t="str">
        <f>$C$4&amp;"-"&amp;TEXT(COUNTA($E$15:E223),"00")</f>
        <v>TC-199</v>
      </c>
      <c r="B223" s="32"/>
      <c r="C223" s="25" t="s">
        <v>736</v>
      </c>
      <c r="D223" s="25" t="s">
        <v>737</v>
      </c>
      <c r="E223" s="25" t="s">
        <v>738</v>
      </c>
      <c r="F223" s="26"/>
      <c r="G223" s="25" t="s">
        <v>739</v>
      </c>
      <c r="H223" s="2"/>
      <c r="I223" s="2"/>
      <c r="J223" s="2"/>
      <c r="K223" s="2"/>
      <c r="L223" s="2"/>
      <c r="M223" s="2"/>
      <c r="N223" s="2"/>
      <c r="O223" s="2"/>
      <c r="P223" s="2"/>
      <c r="Q223" s="2"/>
      <c r="R223" s="2"/>
      <c r="S223" s="2"/>
      <c r="T223" s="2"/>
      <c r="U223" s="2"/>
      <c r="V223" s="2"/>
      <c r="W223" s="2"/>
      <c r="X223" s="2"/>
    </row>
    <row r="224" spans="1:24" ht="63.95" customHeight="1" x14ac:dyDescent="0.2">
      <c r="A224" s="23" t="str">
        <f>$C$4&amp;"-"&amp;TEXT(COUNTA($E$15:E224),"00")</f>
        <v>TC-200</v>
      </c>
      <c r="B224" s="30" t="s">
        <v>740</v>
      </c>
      <c r="C224" s="25" t="s">
        <v>741</v>
      </c>
      <c r="D224" s="25" t="s">
        <v>742</v>
      </c>
      <c r="E224" s="25" t="s">
        <v>743</v>
      </c>
      <c r="F224" s="26"/>
      <c r="G224" s="25" t="s">
        <v>357</v>
      </c>
      <c r="H224" s="2"/>
      <c r="I224" s="2"/>
      <c r="J224" s="2"/>
      <c r="K224" s="2"/>
      <c r="L224" s="2"/>
      <c r="M224" s="2"/>
      <c r="N224" s="2"/>
      <c r="O224" s="2"/>
      <c r="P224" s="2"/>
      <c r="Q224" s="2"/>
      <c r="R224" s="2"/>
      <c r="S224" s="2"/>
      <c r="T224" s="2"/>
      <c r="U224" s="2"/>
      <c r="V224" s="2"/>
      <c r="W224" s="2"/>
      <c r="X224" s="2"/>
    </row>
    <row r="225" spans="1:24" ht="48" customHeight="1" x14ac:dyDescent="0.2">
      <c r="A225" s="23" t="str">
        <f>$C$4&amp;"-"&amp;TEXT(COUNTA($E$15:E225),"00")</f>
        <v>TC-201</v>
      </c>
      <c r="B225" s="31"/>
      <c r="C225" s="25" t="s">
        <v>744</v>
      </c>
      <c r="D225" s="25" t="s">
        <v>745</v>
      </c>
      <c r="E225" s="25" t="s">
        <v>746</v>
      </c>
      <c r="F225" s="26"/>
      <c r="G225" s="25" t="s">
        <v>357</v>
      </c>
      <c r="H225" s="2"/>
      <c r="I225" s="2"/>
      <c r="J225" s="2"/>
      <c r="K225" s="2"/>
      <c r="L225" s="2"/>
      <c r="M225" s="2"/>
      <c r="N225" s="2"/>
      <c r="O225" s="2"/>
      <c r="P225" s="2"/>
      <c r="Q225" s="2"/>
      <c r="R225" s="2"/>
      <c r="S225" s="2"/>
      <c r="T225" s="2"/>
      <c r="U225" s="2"/>
      <c r="V225" s="2"/>
      <c r="W225" s="2"/>
      <c r="X225" s="2"/>
    </row>
    <row r="226" spans="1:24" ht="63.95" customHeight="1" x14ac:dyDescent="0.2">
      <c r="A226" s="23" t="str">
        <f>$C$4&amp;"-"&amp;TEXT(COUNTA($E$15:E226),"00")</f>
        <v>TC-202</v>
      </c>
      <c r="B226" s="32"/>
      <c r="C226" s="25" t="s">
        <v>747</v>
      </c>
      <c r="D226" s="25" t="s">
        <v>748</v>
      </c>
      <c r="E226" s="25" t="s">
        <v>749</v>
      </c>
      <c r="F226" s="26"/>
      <c r="G226" s="25" t="s">
        <v>357</v>
      </c>
      <c r="H226" s="2"/>
      <c r="I226" s="2"/>
      <c r="J226" s="2"/>
      <c r="K226" s="2"/>
      <c r="L226" s="2"/>
      <c r="M226" s="2"/>
      <c r="N226" s="2"/>
      <c r="O226" s="2"/>
      <c r="P226" s="2"/>
      <c r="Q226" s="2"/>
      <c r="R226" s="2"/>
      <c r="S226" s="2"/>
      <c r="T226" s="2"/>
      <c r="U226" s="2"/>
      <c r="V226" s="2"/>
      <c r="W226" s="2"/>
      <c r="X226" s="2"/>
    </row>
    <row r="227" spans="1:24" ht="63.95" customHeight="1" x14ac:dyDescent="0.2">
      <c r="A227" s="23" t="str">
        <f>$C$4&amp;"-"&amp;TEXT(COUNTA($E$15:E227),"00")</f>
        <v>TC-203</v>
      </c>
      <c r="B227" s="24" t="s">
        <v>750</v>
      </c>
      <c r="C227" s="25" t="s">
        <v>751</v>
      </c>
      <c r="D227" s="25" t="s">
        <v>752</v>
      </c>
      <c r="E227" s="25" t="s">
        <v>753</v>
      </c>
      <c r="F227" s="26"/>
      <c r="G227" s="25" t="s">
        <v>754</v>
      </c>
      <c r="H227" s="2"/>
      <c r="I227" s="2"/>
      <c r="J227" s="2"/>
      <c r="K227" s="2"/>
      <c r="L227" s="2"/>
      <c r="M227" s="2"/>
      <c r="N227" s="2"/>
      <c r="O227" s="2"/>
      <c r="P227" s="2"/>
      <c r="Q227" s="2"/>
      <c r="R227" s="2"/>
      <c r="S227" s="2"/>
      <c r="T227" s="2"/>
      <c r="U227" s="2"/>
      <c r="V227" s="2"/>
      <c r="W227" s="2"/>
      <c r="X227" s="2"/>
    </row>
    <row r="228" spans="1:24" ht="63.95" customHeight="1" x14ac:dyDescent="0.2">
      <c r="A228" s="23" t="str">
        <f>$C$4&amp;"-"&amp;TEXT(COUNTA($E$15:E228),"00")</f>
        <v>TC-204</v>
      </c>
      <c r="B228" s="30" t="s">
        <v>755</v>
      </c>
      <c r="C228" s="25" t="s">
        <v>756</v>
      </c>
      <c r="D228" s="25" t="s">
        <v>757</v>
      </c>
      <c r="E228" s="25" t="s">
        <v>758</v>
      </c>
      <c r="F228" s="26"/>
      <c r="G228" s="25" t="s">
        <v>759</v>
      </c>
      <c r="H228" s="2"/>
      <c r="I228" s="2"/>
      <c r="J228" s="2"/>
      <c r="K228" s="2"/>
      <c r="L228" s="2"/>
      <c r="M228" s="2"/>
      <c r="N228" s="2"/>
      <c r="O228" s="2"/>
      <c r="P228" s="2"/>
      <c r="Q228" s="2"/>
      <c r="R228" s="2"/>
      <c r="S228" s="2"/>
      <c r="T228" s="2"/>
      <c r="U228" s="2"/>
      <c r="V228" s="2"/>
      <c r="W228" s="2"/>
      <c r="X228" s="2"/>
    </row>
    <row r="229" spans="1:24" ht="63.95" customHeight="1" x14ac:dyDescent="0.2">
      <c r="A229" s="23" t="str">
        <f>$C$4&amp;"-"&amp;TEXT(COUNTA($E$15:E229),"00")</f>
        <v>TC-205</v>
      </c>
      <c r="B229" s="31"/>
      <c r="C229" s="25" t="s">
        <v>760</v>
      </c>
      <c r="D229" s="25" t="s">
        <v>761</v>
      </c>
      <c r="E229" s="25" t="s">
        <v>762</v>
      </c>
      <c r="F229" s="26"/>
      <c r="G229" s="25" t="s">
        <v>763</v>
      </c>
      <c r="H229" s="2"/>
      <c r="I229" s="2"/>
      <c r="J229" s="2"/>
      <c r="K229" s="2"/>
      <c r="L229" s="2"/>
      <c r="M229" s="2"/>
      <c r="N229" s="2"/>
      <c r="O229" s="2"/>
      <c r="P229" s="2"/>
      <c r="Q229" s="2"/>
      <c r="R229" s="2"/>
      <c r="S229" s="2"/>
      <c r="T229" s="2"/>
      <c r="U229" s="2"/>
      <c r="V229" s="2"/>
      <c r="W229" s="2"/>
      <c r="X229" s="2"/>
    </row>
    <row r="230" spans="1:24" ht="80.099999999999994" customHeight="1" x14ac:dyDescent="0.2">
      <c r="A230" s="23" t="str">
        <f>$C$4&amp;"-"&amp;TEXT(COUNTA($E$15:E230),"00")</f>
        <v>TC-206</v>
      </c>
      <c r="B230" s="31"/>
      <c r="C230" s="25" t="s">
        <v>764</v>
      </c>
      <c r="D230" s="25" t="s">
        <v>765</v>
      </c>
      <c r="E230" s="25" t="s">
        <v>766</v>
      </c>
      <c r="F230" s="26"/>
      <c r="G230" s="25" t="s">
        <v>767</v>
      </c>
      <c r="H230" s="2"/>
      <c r="I230" s="2"/>
      <c r="J230" s="2"/>
      <c r="K230" s="2"/>
      <c r="L230" s="2"/>
      <c r="M230" s="2"/>
      <c r="N230" s="2"/>
      <c r="O230" s="2"/>
      <c r="P230" s="2"/>
      <c r="Q230" s="2"/>
      <c r="R230" s="2"/>
      <c r="S230" s="2"/>
      <c r="T230" s="2"/>
      <c r="U230" s="2"/>
      <c r="V230" s="2"/>
      <c r="W230" s="2"/>
      <c r="X230" s="2"/>
    </row>
    <row r="231" spans="1:24" ht="63.95" customHeight="1" x14ac:dyDescent="0.2">
      <c r="A231" s="23" t="str">
        <f>$C$4&amp;"-"&amp;TEXT(COUNTA($E$15:E231),"00")</f>
        <v>TC-207</v>
      </c>
      <c r="B231" s="31"/>
      <c r="C231" s="25" t="s">
        <v>768</v>
      </c>
      <c r="D231" s="25" t="s">
        <v>769</v>
      </c>
      <c r="E231" s="25" t="s">
        <v>770</v>
      </c>
      <c r="F231" s="26"/>
      <c r="G231" s="25" t="s">
        <v>357</v>
      </c>
      <c r="H231" s="2"/>
      <c r="I231" s="2"/>
      <c r="J231" s="2"/>
      <c r="K231" s="2"/>
      <c r="L231" s="2"/>
      <c r="M231" s="2"/>
      <c r="N231" s="2"/>
      <c r="O231" s="2"/>
      <c r="P231" s="2"/>
      <c r="Q231" s="2"/>
      <c r="R231" s="2"/>
      <c r="S231" s="2"/>
      <c r="T231" s="2"/>
      <c r="U231" s="2"/>
      <c r="V231" s="2"/>
      <c r="W231" s="2"/>
      <c r="X231" s="2"/>
    </row>
    <row r="232" spans="1:24" ht="80.099999999999994" customHeight="1" x14ac:dyDescent="0.2">
      <c r="A232" s="23" t="str">
        <f>$C$4&amp;"-"&amp;TEXT(COUNTA($E$15:E232),"00")</f>
        <v>TC-208</v>
      </c>
      <c r="B232" s="31"/>
      <c r="C232" s="25" t="s">
        <v>771</v>
      </c>
      <c r="D232" s="25" t="s">
        <v>772</v>
      </c>
      <c r="E232" s="25" t="s">
        <v>773</v>
      </c>
      <c r="F232" s="26"/>
      <c r="G232" s="25" t="s">
        <v>774</v>
      </c>
      <c r="H232" s="2"/>
      <c r="I232" s="2"/>
      <c r="J232" s="2"/>
      <c r="K232" s="2"/>
      <c r="L232" s="2"/>
      <c r="M232" s="2"/>
      <c r="N232" s="2"/>
      <c r="O232" s="2"/>
      <c r="P232" s="2"/>
      <c r="Q232" s="2"/>
      <c r="R232" s="2"/>
      <c r="S232" s="2"/>
      <c r="T232" s="2"/>
      <c r="U232" s="2"/>
      <c r="V232" s="2"/>
      <c r="W232" s="2"/>
      <c r="X232" s="2"/>
    </row>
    <row r="233" spans="1:24" ht="63.95" customHeight="1" x14ac:dyDescent="0.2">
      <c r="A233" s="23" t="str">
        <f>$C$4&amp;"-"&amp;TEXT(COUNTA($E$15:E233),"00")</f>
        <v>TC-209</v>
      </c>
      <c r="B233" s="31"/>
      <c r="C233" s="25" t="s">
        <v>775</v>
      </c>
      <c r="D233" s="25" t="s">
        <v>776</v>
      </c>
      <c r="E233" s="25" t="s">
        <v>777</v>
      </c>
      <c r="F233" s="26"/>
      <c r="G233" s="25" t="s">
        <v>357</v>
      </c>
      <c r="H233" s="2"/>
      <c r="I233" s="2"/>
      <c r="J233" s="2"/>
      <c r="K233" s="2"/>
      <c r="L233" s="2"/>
      <c r="M233" s="2"/>
      <c r="N233" s="2"/>
      <c r="O233" s="2"/>
      <c r="P233" s="2"/>
      <c r="Q233" s="2"/>
      <c r="R233" s="2"/>
      <c r="S233" s="2"/>
      <c r="T233" s="2"/>
      <c r="U233" s="2"/>
      <c r="V233" s="2"/>
      <c r="W233" s="2"/>
      <c r="X233" s="2"/>
    </row>
    <row r="234" spans="1:24" ht="48" customHeight="1" x14ac:dyDescent="0.2">
      <c r="A234" s="23" t="str">
        <f>$C$4&amp;"-"&amp;TEXT(COUNTA($E$15:E234),"00")</f>
        <v>TC-210</v>
      </c>
      <c r="B234" s="32"/>
      <c r="C234" s="25" t="s">
        <v>778</v>
      </c>
      <c r="D234" s="25" t="s">
        <v>779</v>
      </c>
      <c r="E234" s="25" t="s">
        <v>780</v>
      </c>
      <c r="F234" s="26"/>
      <c r="G234" s="25" t="s">
        <v>357</v>
      </c>
      <c r="H234" s="2"/>
      <c r="I234" s="2"/>
      <c r="J234" s="2"/>
      <c r="K234" s="2"/>
      <c r="L234" s="2"/>
      <c r="M234" s="2"/>
      <c r="N234" s="2"/>
      <c r="O234" s="2"/>
      <c r="P234" s="2"/>
      <c r="Q234" s="2"/>
      <c r="R234" s="2"/>
      <c r="S234" s="2"/>
      <c r="T234" s="2"/>
      <c r="U234" s="2"/>
      <c r="V234" s="2"/>
      <c r="W234" s="2"/>
      <c r="X234" s="2"/>
    </row>
    <row r="235" spans="1:24" x14ac:dyDescent="0.2">
      <c r="A235" s="39" t="s">
        <v>781</v>
      </c>
      <c r="B235" s="34"/>
      <c r="C235" s="34"/>
      <c r="D235" s="34"/>
      <c r="E235" s="34"/>
      <c r="F235" s="35"/>
      <c r="G235" s="15"/>
      <c r="H235" s="2"/>
      <c r="I235" s="2"/>
      <c r="J235" s="2"/>
      <c r="K235" s="2"/>
      <c r="L235" s="2"/>
      <c r="M235" s="2"/>
      <c r="N235" s="2"/>
      <c r="O235" s="2"/>
      <c r="P235" s="2"/>
      <c r="Q235" s="2"/>
      <c r="R235" s="2"/>
      <c r="S235" s="2"/>
      <c r="T235" s="2"/>
      <c r="U235" s="2"/>
      <c r="V235" s="2"/>
      <c r="W235" s="2"/>
      <c r="X235" s="2"/>
    </row>
    <row r="236" spans="1:24" ht="31.5" x14ac:dyDescent="0.2">
      <c r="A236" s="16" t="str">
        <f>$C$4&amp;"-"&amp;TEXT(COUNTA($E$15:E236),"00")</f>
        <v>TC-211</v>
      </c>
      <c r="B236" s="36" t="s">
        <v>782</v>
      </c>
      <c r="C236" s="5" t="s">
        <v>783</v>
      </c>
      <c r="D236" s="5" t="s">
        <v>784</v>
      </c>
      <c r="E236" s="5" t="s">
        <v>785</v>
      </c>
      <c r="F236" s="1" t="s">
        <v>111</v>
      </c>
      <c r="G236" s="5"/>
      <c r="H236" s="2"/>
      <c r="I236" s="2"/>
      <c r="J236" s="2"/>
      <c r="K236" s="2"/>
      <c r="L236" s="2"/>
      <c r="M236" s="2"/>
      <c r="N236" s="2"/>
      <c r="O236" s="2"/>
      <c r="P236" s="2"/>
      <c r="Q236" s="2"/>
      <c r="R236" s="2"/>
      <c r="S236" s="2"/>
      <c r="T236" s="2"/>
      <c r="U236" s="2"/>
      <c r="V236" s="2"/>
      <c r="W236" s="2"/>
      <c r="X236" s="2"/>
    </row>
    <row r="237" spans="1:24" ht="47.25" x14ac:dyDescent="0.2">
      <c r="A237" s="16" t="str">
        <f>$C$4&amp;"-"&amp;TEXT(COUNTA($E$15:E237),"00")</f>
        <v>TC-212</v>
      </c>
      <c r="B237" s="32"/>
      <c r="C237" s="5" t="s">
        <v>786</v>
      </c>
      <c r="D237" s="5" t="s">
        <v>787</v>
      </c>
      <c r="E237" s="5" t="s">
        <v>788</v>
      </c>
      <c r="F237" s="1" t="s">
        <v>24</v>
      </c>
      <c r="G237" s="5"/>
      <c r="H237" s="2"/>
      <c r="I237" s="2"/>
      <c r="J237" s="2"/>
      <c r="K237" s="2"/>
      <c r="L237" s="2"/>
      <c r="M237" s="2"/>
      <c r="N237" s="2"/>
      <c r="O237" s="2"/>
      <c r="P237" s="2"/>
      <c r="Q237" s="2"/>
      <c r="R237" s="2"/>
      <c r="S237" s="2"/>
      <c r="T237" s="2"/>
      <c r="U237" s="2"/>
      <c r="V237" s="2"/>
      <c r="W237" s="2"/>
      <c r="X237" s="2"/>
    </row>
    <row r="238" spans="1:24" ht="31.5" x14ac:dyDescent="0.2">
      <c r="A238" s="16" t="str">
        <f>$C$4&amp;"-"&amp;TEXT(COUNTA($E$15:E238),"00")</f>
        <v>TC-213</v>
      </c>
      <c r="B238" s="5" t="s">
        <v>789</v>
      </c>
      <c r="C238" s="5" t="s">
        <v>790</v>
      </c>
      <c r="D238" s="5" t="s">
        <v>791</v>
      </c>
      <c r="E238" s="5" t="s">
        <v>792</v>
      </c>
      <c r="F238" s="1"/>
      <c r="G238" s="5"/>
      <c r="H238" s="2"/>
      <c r="I238" s="2"/>
      <c r="J238" s="2"/>
      <c r="K238" s="2"/>
      <c r="L238" s="2"/>
      <c r="M238" s="2"/>
      <c r="N238" s="2"/>
      <c r="O238" s="2"/>
      <c r="P238" s="2"/>
      <c r="Q238" s="2"/>
      <c r="R238" s="2"/>
      <c r="S238" s="2"/>
      <c r="T238" s="2"/>
      <c r="U238" s="2"/>
      <c r="V238" s="2"/>
      <c r="W238" s="2"/>
      <c r="X238" s="2"/>
    </row>
    <row r="239" spans="1:24" ht="78.75" x14ac:dyDescent="0.2">
      <c r="A239" s="16" t="str">
        <f>$C$4&amp;"-"&amp;TEXT(COUNTA($E$15:E239),"00")</f>
        <v>TC-214</v>
      </c>
      <c r="B239" s="5" t="s">
        <v>793</v>
      </c>
      <c r="C239" s="5" t="s">
        <v>794</v>
      </c>
      <c r="D239" s="5" t="s">
        <v>795</v>
      </c>
      <c r="E239" s="5" t="s">
        <v>796</v>
      </c>
      <c r="F239" s="1"/>
      <c r="G239" s="5"/>
      <c r="H239" s="2"/>
      <c r="I239" s="2"/>
      <c r="J239" s="2"/>
      <c r="K239" s="2"/>
      <c r="L239" s="2"/>
      <c r="M239" s="2"/>
      <c r="N239" s="2"/>
      <c r="O239" s="2"/>
      <c r="P239" s="2"/>
      <c r="Q239" s="2"/>
      <c r="R239" s="2"/>
      <c r="S239" s="2"/>
      <c r="T239" s="2"/>
      <c r="U239" s="2"/>
      <c r="V239" s="2"/>
      <c r="W239" s="2"/>
      <c r="X239" s="2"/>
    </row>
    <row r="240" spans="1:24" ht="47.25" x14ac:dyDescent="0.2">
      <c r="A240" s="16" t="str">
        <f>$C$4&amp;"-"&amp;TEXT(COUNTA($E$15:E240),"00")</f>
        <v>TC-215</v>
      </c>
      <c r="B240" s="5" t="s">
        <v>797</v>
      </c>
      <c r="C240" s="5" t="s">
        <v>798</v>
      </c>
      <c r="D240" s="5" t="s">
        <v>799</v>
      </c>
      <c r="E240" s="5" t="s">
        <v>800</v>
      </c>
      <c r="F240" s="1"/>
      <c r="G240" s="5"/>
      <c r="H240" s="2"/>
      <c r="I240" s="2"/>
      <c r="J240" s="2"/>
      <c r="K240" s="2"/>
      <c r="L240" s="2"/>
      <c r="M240" s="2"/>
      <c r="N240" s="2"/>
      <c r="O240" s="2"/>
      <c r="P240" s="2"/>
      <c r="Q240" s="2"/>
      <c r="R240" s="2"/>
      <c r="S240" s="2"/>
      <c r="T240" s="2"/>
      <c r="U240" s="2"/>
      <c r="V240" s="2"/>
      <c r="W240" s="2"/>
      <c r="X240" s="2"/>
    </row>
    <row r="241" spans="1:24" ht="47.25" x14ac:dyDescent="0.2">
      <c r="A241" s="16" t="str">
        <f>$C$4&amp;"-"&amp;TEXT(COUNTA($E$15:E241),"00")</f>
        <v>TC-216</v>
      </c>
      <c r="B241" s="5" t="s">
        <v>801</v>
      </c>
      <c r="C241" s="5" t="s">
        <v>802</v>
      </c>
      <c r="D241" s="5" t="s">
        <v>803</v>
      </c>
      <c r="E241" s="5" t="s">
        <v>773</v>
      </c>
      <c r="F241" s="1"/>
      <c r="G241" s="5" t="s">
        <v>804</v>
      </c>
      <c r="H241" s="2"/>
      <c r="I241" s="2"/>
      <c r="J241" s="2"/>
      <c r="K241" s="2"/>
      <c r="L241" s="2"/>
      <c r="M241" s="2"/>
      <c r="N241" s="2"/>
      <c r="O241" s="2"/>
      <c r="P241" s="2"/>
      <c r="Q241" s="2"/>
      <c r="R241" s="2"/>
      <c r="S241" s="2"/>
      <c r="T241" s="2"/>
      <c r="U241" s="2"/>
      <c r="V241" s="2"/>
      <c r="W241" s="2"/>
      <c r="X241" s="2"/>
    </row>
    <row r="242" spans="1:24" x14ac:dyDescent="0.2">
      <c r="A242" s="42" t="s">
        <v>805</v>
      </c>
      <c r="B242" s="34"/>
      <c r="C242" s="35"/>
      <c r="D242" s="13"/>
      <c r="E242" s="13"/>
      <c r="F242" s="13"/>
      <c r="G242" s="13"/>
      <c r="H242" s="14"/>
      <c r="I242" s="14"/>
      <c r="J242" s="14"/>
      <c r="K242" s="14"/>
      <c r="L242" s="14"/>
      <c r="M242" s="14"/>
      <c r="N242" s="14"/>
      <c r="O242" s="14"/>
      <c r="P242" s="14"/>
      <c r="Q242" s="14"/>
      <c r="R242" s="14"/>
      <c r="S242" s="14"/>
      <c r="T242" s="14"/>
      <c r="U242" s="14"/>
      <c r="V242" s="14"/>
      <c r="W242" s="14"/>
      <c r="X242" s="2"/>
    </row>
    <row r="243" spans="1:24" ht="12.75" x14ac:dyDescent="0.2">
      <c r="A243" s="45" t="s">
        <v>806</v>
      </c>
      <c r="B243" s="34"/>
      <c r="C243" s="34"/>
      <c r="D243" s="34"/>
      <c r="E243" s="34"/>
      <c r="F243" s="34"/>
      <c r="G243" s="35"/>
      <c r="H243" s="14"/>
      <c r="I243" s="14"/>
      <c r="J243" s="14"/>
      <c r="K243" s="14"/>
      <c r="L243" s="14"/>
      <c r="M243" s="14"/>
      <c r="N243" s="14"/>
      <c r="O243" s="14"/>
      <c r="P243" s="14"/>
      <c r="Q243" s="14"/>
      <c r="R243" s="14"/>
      <c r="S243" s="14"/>
      <c r="T243" s="14"/>
      <c r="U243" s="14"/>
      <c r="V243" s="14"/>
      <c r="W243" s="14"/>
      <c r="X243" s="2"/>
    </row>
    <row r="244" spans="1:24" x14ac:dyDescent="0.2">
      <c r="A244" s="39" t="s">
        <v>19</v>
      </c>
      <c r="B244" s="34"/>
      <c r="C244" s="34"/>
      <c r="D244" s="34"/>
      <c r="E244" s="34"/>
      <c r="F244" s="35"/>
      <c r="G244" s="15"/>
      <c r="H244" s="2"/>
      <c r="I244" s="2"/>
      <c r="J244" s="2"/>
      <c r="K244" s="2"/>
      <c r="L244" s="2"/>
      <c r="M244" s="2"/>
      <c r="N244" s="2"/>
      <c r="O244" s="2"/>
      <c r="P244" s="2"/>
      <c r="Q244" s="2"/>
      <c r="R244" s="2"/>
      <c r="S244" s="2"/>
      <c r="T244" s="2"/>
      <c r="U244" s="2"/>
      <c r="V244" s="2"/>
      <c r="W244" s="2"/>
      <c r="X244" s="2"/>
    </row>
    <row r="245" spans="1:24" ht="110.25" x14ac:dyDescent="0.2">
      <c r="A245" s="16" t="str">
        <f>$C$4&amp;"-"&amp;TEXT(COUNTA($E$15:E245),"00")</f>
        <v>TC-217</v>
      </c>
      <c r="B245" s="36" t="s">
        <v>20</v>
      </c>
      <c r="C245" s="5" t="s">
        <v>807</v>
      </c>
      <c r="D245" s="5" t="s">
        <v>808</v>
      </c>
      <c r="E245" s="5" t="s">
        <v>809</v>
      </c>
      <c r="F245" s="1" t="s">
        <v>24</v>
      </c>
      <c r="G245" s="5"/>
      <c r="H245" s="2"/>
      <c r="I245" s="2"/>
      <c r="J245" s="2"/>
      <c r="K245" s="2"/>
      <c r="L245" s="2"/>
      <c r="M245" s="2"/>
      <c r="N245" s="2"/>
      <c r="O245" s="2"/>
      <c r="P245" s="2"/>
      <c r="Q245" s="2"/>
      <c r="R245" s="2"/>
      <c r="S245" s="2"/>
      <c r="T245" s="2"/>
      <c r="U245" s="2"/>
      <c r="V245" s="2"/>
      <c r="W245" s="2"/>
      <c r="X245" s="2"/>
    </row>
    <row r="246" spans="1:24" ht="110.25" x14ac:dyDescent="0.2">
      <c r="A246" s="16" t="str">
        <f>$C$4&amp;"-"&amp;TEXT(COUNTA($E$15:E246),"00")</f>
        <v>TC-218</v>
      </c>
      <c r="B246" s="31"/>
      <c r="C246" s="5" t="s">
        <v>25</v>
      </c>
      <c r="D246" s="5" t="s">
        <v>26</v>
      </c>
      <c r="E246" s="5" t="s">
        <v>27</v>
      </c>
      <c r="F246" s="1" t="s">
        <v>24</v>
      </c>
      <c r="G246" s="15"/>
      <c r="H246" s="2"/>
      <c r="I246" s="2"/>
      <c r="J246" s="2"/>
      <c r="K246" s="2"/>
      <c r="L246" s="2"/>
      <c r="M246" s="2"/>
      <c r="N246" s="2"/>
      <c r="O246" s="2"/>
      <c r="P246" s="2"/>
      <c r="Q246" s="2"/>
      <c r="R246" s="2"/>
      <c r="S246" s="2"/>
      <c r="T246" s="2"/>
      <c r="U246" s="2"/>
      <c r="V246" s="2"/>
      <c r="W246" s="2"/>
      <c r="X246" s="2"/>
    </row>
    <row r="247" spans="1:24" ht="47.25" x14ac:dyDescent="0.2">
      <c r="A247" s="16" t="str">
        <f>$C$4&amp;"-"&amp;TEXT(COUNTA($E$15:E247),"00")</f>
        <v>TC-219</v>
      </c>
      <c r="B247" s="31"/>
      <c r="C247" s="5" t="s">
        <v>810</v>
      </c>
      <c r="D247" s="5" t="s">
        <v>811</v>
      </c>
      <c r="E247" s="5" t="s">
        <v>812</v>
      </c>
      <c r="F247" s="1" t="s">
        <v>24</v>
      </c>
      <c r="G247" s="15"/>
      <c r="H247" s="2"/>
      <c r="I247" s="2"/>
      <c r="J247" s="2"/>
      <c r="K247" s="2"/>
      <c r="L247" s="2"/>
      <c r="M247" s="2"/>
      <c r="N247" s="2"/>
      <c r="O247" s="2"/>
      <c r="P247" s="2"/>
      <c r="Q247" s="2"/>
      <c r="R247" s="2"/>
      <c r="S247" s="2"/>
      <c r="T247" s="2"/>
      <c r="U247" s="2"/>
      <c r="V247" s="2"/>
      <c r="W247" s="2"/>
      <c r="X247" s="2"/>
    </row>
    <row r="248" spans="1:24" ht="47.25" x14ac:dyDescent="0.2">
      <c r="A248" s="16" t="str">
        <f>$C$4&amp;"-"&amp;TEXT(COUNTA($E$15:E248),"00")</f>
        <v>TC-220</v>
      </c>
      <c r="B248" s="31"/>
      <c r="C248" s="5" t="s">
        <v>813</v>
      </c>
      <c r="D248" s="5" t="s">
        <v>814</v>
      </c>
      <c r="E248" s="5" t="s">
        <v>815</v>
      </c>
      <c r="F248" s="1" t="s">
        <v>24</v>
      </c>
      <c r="G248" s="15"/>
      <c r="H248" s="2"/>
      <c r="I248" s="2"/>
      <c r="J248" s="2"/>
      <c r="K248" s="2"/>
      <c r="L248" s="2"/>
      <c r="M248" s="2"/>
      <c r="N248" s="2"/>
      <c r="O248" s="2"/>
      <c r="P248" s="2"/>
      <c r="Q248" s="2"/>
      <c r="R248" s="2"/>
      <c r="S248" s="2"/>
      <c r="T248" s="2"/>
      <c r="U248" s="2"/>
      <c r="V248" s="2"/>
      <c r="W248" s="2"/>
      <c r="X248" s="2"/>
    </row>
    <row r="249" spans="1:24" ht="31.5" x14ac:dyDescent="0.2">
      <c r="A249" s="16" t="str">
        <f>$C$4&amp;"-"&amp;TEXT(COUNTA($E$15:E249),"00")</f>
        <v>TC-221</v>
      </c>
      <c r="B249" s="31"/>
      <c r="C249" s="5" t="s">
        <v>34</v>
      </c>
      <c r="D249" s="5" t="s">
        <v>816</v>
      </c>
      <c r="E249" s="5" t="s">
        <v>817</v>
      </c>
      <c r="F249" s="1" t="s">
        <v>24</v>
      </c>
      <c r="G249" s="15"/>
      <c r="H249" s="2"/>
      <c r="I249" s="2"/>
      <c r="J249" s="2"/>
      <c r="K249" s="2"/>
      <c r="L249" s="2"/>
      <c r="M249" s="2"/>
      <c r="N249" s="2"/>
      <c r="O249" s="2"/>
      <c r="P249" s="2"/>
      <c r="Q249" s="2"/>
      <c r="R249" s="2"/>
      <c r="S249" s="2"/>
      <c r="T249" s="2"/>
      <c r="U249" s="2"/>
      <c r="V249" s="2"/>
      <c r="W249" s="2"/>
      <c r="X249" s="2"/>
    </row>
    <row r="250" spans="1:24" x14ac:dyDescent="0.2">
      <c r="A250" s="16" t="str">
        <f>$C$4&amp;"-"&amp;TEXT(COUNTA($E$15:E250),"00")</f>
        <v>TC-222</v>
      </c>
      <c r="B250" s="31"/>
      <c r="C250" s="5" t="s">
        <v>818</v>
      </c>
      <c r="D250" s="5" t="s">
        <v>819</v>
      </c>
      <c r="E250" s="5" t="s">
        <v>820</v>
      </c>
      <c r="F250" s="1" t="s">
        <v>24</v>
      </c>
      <c r="G250" s="5" t="s">
        <v>821</v>
      </c>
      <c r="H250" s="2"/>
      <c r="I250" s="2"/>
      <c r="J250" s="2"/>
      <c r="K250" s="2"/>
      <c r="L250" s="2"/>
      <c r="M250" s="2"/>
      <c r="N250" s="2"/>
      <c r="O250" s="2"/>
      <c r="P250" s="2"/>
      <c r="Q250" s="2"/>
      <c r="R250" s="2"/>
      <c r="S250" s="2"/>
      <c r="T250" s="2"/>
      <c r="U250" s="2"/>
      <c r="V250" s="2"/>
      <c r="W250" s="2"/>
      <c r="X250" s="2"/>
    </row>
    <row r="251" spans="1:24" ht="47.25" x14ac:dyDescent="0.2">
      <c r="A251" s="16" t="str">
        <f>$C$4&amp;"-"&amp;TEXT(COUNTA($E$15:E251),"00")</f>
        <v>TC-223</v>
      </c>
      <c r="B251" s="31"/>
      <c r="C251" s="5" t="s">
        <v>822</v>
      </c>
      <c r="D251" s="5" t="s">
        <v>823</v>
      </c>
      <c r="E251" s="5" t="s">
        <v>824</v>
      </c>
      <c r="F251" s="1" t="s">
        <v>24</v>
      </c>
      <c r="G251" s="5"/>
      <c r="H251" s="2"/>
      <c r="I251" s="2"/>
      <c r="J251" s="2"/>
      <c r="K251" s="2"/>
      <c r="L251" s="2"/>
      <c r="M251" s="2"/>
      <c r="N251" s="2"/>
      <c r="O251" s="2"/>
      <c r="P251" s="2"/>
      <c r="Q251" s="2"/>
      <c r="R251" s="2"/>
      <c r="S251" s="2"/>
      <c r="T251" s="2"/>
      <c r="U251" s="2"/>
      <c r="V251" s="2"/>
      <c r="W251" s="2"/>
      <c r="X251" s="2"/>
    </row>
    <row r="252" spans="1:24" ht="126" x14ac:dyDescent="0.2">
      <c r="A252" s="16" t="str">
        <f>$C$4&amp;"-"&amp;TEXT(COUNTA($E$15:E252),"00")</f>
        <v>TC-224</v>
      </c>
      <c r="B252" s="31"/>
      <c r="C252" s="5" t="s">
        <v>825</v>
      </c>
      <c r="D252" s="5" t="s">
        <v>826</v>
      </c>
      <c r="E252" s="5" t="s">
        <v>827</v>
      </c>
      <c r="F252" s="1" t="s">
        <v>24</v>
      </c>
      <c r="G252" s="5"/>
      <c r="H252" s="2"/>
      <c r="I252" s="2"/>
      <c r="J252" s="2"/>
      <c r="K252" s="2"/>
      <c r="L252" s="2"/>
      <c r="M252" s="2"/>
      <c r="N252" s="2"/>
      <c r="O252" s="2"/>
      <c r="P252" s="2"/>
      <c r="Q252" s="2"/>
      <c r="R252" s="2"/>
      <c r="S252" s="2"/>
      <c r="T252" s="2"/>
      <c r="U252" s="2"/>
      <c r="V252" s="2"/>
      <c r="W252" s="2"/>
      <c r="X252" s="2"/>
    </row>
    <row r="253" spans="1:24" ht="31.5" x14ac:dyDescent="0.2">
      <c r="A253" s="16" t="str">
        <f>$C$4&amp;"-"&amp;TEXT(COUNTA($E$15:E253),"00")</f>
        <v>TC-225</v>
      </c>
      <c r="B253" s="32"/>
      <c r="C253" s="5" t="s">
        <v>828</v>
      </c>
      <c r="D253" s="5" t="s">
        <v>829</v>
      </c>
      <c r="E253" s="5" t="s">
        <v>830</v>
      </c>
      <c r="F253" s="1" t="s">
        <v>24</v>
      </c>
      <c r="G253" s="5"/>
      <c r="H253" s="2"/>
      <c r="I253" s="2"/>
      <c r="J253" s="2"/>
      <c r="K253" s="2"/>
      <c r="L253" s="2"/>
      <c r="M253" s="2"/>
      <c r="N253" s="2"/>
      <c r="O253" s="2"/>
      <c r="P253" s="2"/>
      <c r="Q253" s="2"/>
      <c r="R253" s="2"/>
      <c r="S253" s="2"/>
      <c r="T253" s="2"/>
      <c r="U253" s="2"/>
      <c r="V253" s="2"/>
      <c r="W253" s="2"/>
      <c r="X253" s="2"/>
    </row>
    <row r="254" spans="1:24" x14ac:dyDescent="0.2">
      <c r="A254" s="39" t="s">
        <v>831</v>
      </c>
      <c r="B254" s="34"/>
      <c r="C254" s="34"/>
      <c r="D254" s="34"/>
      <c r="E254" s="34"/>
      <c r="F254" s="35"/>
      <c r="G254" s="15"/>
      <c r="H254" s="2"/>
      <c r="I254" s="2"/>
      <c r="J254" s="2"/>
      <c r="K254" s="2"/>
      <c r="L254" s="2"/>
      <c r="M254" s="2"/>
      <c r="N254" s="2"/>
      <c r="O254" s="2"/>
      <c r="P254" s="2"/>
      <c r="Q254" s="2"/>
      <c r="R254" s="2"/>
      <c r="S254" s="2"/>
      <c r="T254" s="2"/>
      <c r="U254" s="2"/>
      <c r="V254" s="2"/>
      <c r="W254" s="2"/>
      <c r="X254" s="2"/>
    </row>
    <row r="255" spans="1:24" ht="31.5" x14ac:dyDescent="0.2">
      <c r="A255" s="16" t="str">
        <f>$C$4&amp;"-"&amp;TEXT(COUNTA($E$15:E255),"00")</f>
        <v>TC-226</v>
      </c>
      <c r="B255" s="36" t="s">
        <v>832</v>
      </c>
      <c r="C255" s="5" t="s">
        <v>833</v>
      </c>
      <c r="D255" s="5" t="s">
        <v>834</v>
      </c>
      <c r="E255" s="5" t="s">
        <v>835</v>
      </c>
      <c r="F255" s="1" t="s">
        <v>24</v>
      </c>
      <c r="G255" s="15"/>
      <c r="H255" s="2"/>
      <c r="I255" s="2"/>
      <c r="J255" s="2"/>
      <c r="K255" s="2"/>
      <c r="L255" s="2"/>
      <c r="M255" s="2"/>
      <c r="N255" s="2"/>
      <c r="O255" s="2"/>
      <c r="P255" s="2"/>
      <c r="Q255" s="2"/>
      <c r="R255" s="2"/>
      <c r="S255" s="2"/>
      <c r="T255" s="2"/>
      <c r="U255" s="2"/>
      <c r="V255" s="2"/>
      <c r="W255" s="2"/>
      <c r="X255" s="2"/>
    </row>
    <row r="256" spans="1:24" ht="47.25" x14ac:dyDescent="0.2">
      <c r="A256" s="16" t="str">
        <f>$C$4&amp;"-"&amp;TEXT(COUNTA($E$15:E256),"00")</f>
        <v>TC-227</v>
      </c>
      <c r="B256" s="31"/>
      <c r="C256" s="5" t="s">
        <v>836</v>
      </c>
      <c r="D256" s="5" t="s">
        <v>837</v>
      </c>
      <c r="E256" s="5" t="s">
        <v>838</v>
      </c>
      <c r="F256" s="1" t="s">
        <v>24</v>
      </c>
      <c r="G256" s="15"/>
      <c r="H256" s="2"/>
      <c r="I256" s="2"/>
      <c r="J256" s="2"/>
      <c r="K256" s="2"/>
      <c r="L256" s="2"/>
      <c r="M256" s="2"/>
      <c r="N256" s="2"/>
      <c r="O256" s="2"/>
      <c r="P256" s="2"/>
      <c r="Q256" s="2"/>
      <c r="R256" s="2"/>
      <c r="S256" s="2"/>
      <c r="T256" s="2"/>
      <c r="U256" s="2"/>
      <c r="V256" s="2"/>
      <c r="W256" s="2"/>
      <c r="X256" s="2"/>
    </row>
    <row r="257" spans="1:24" ht="31.5" x14ac:dyDescent="0.2">
      <c r="A257" s="16" t="str">
        <f>$C$4&amp;"-"&amp;TEXT(COUNTA($E$15:E257),"00")</f>
        <v>TC-228</v>
      </c>
      <c r="B257" s="31"/>
      <c r="C257" s="5" t="s">
        <v>839</v>
      </c>
      <c r="D257" s="5" t="s">
        <v>840</v>
      </c>
      <c r="E257" s="5" t="s">
        <v>841</v>
      </c>
      <c r="F257" s="1" t="s">
        <v>24</v>
      </c>
      <c r="G257" s="5"/>
      <c r="H257" s="2"/>
      <c r="I257" s="2"/>
      <c r="J257" s="2"/>
      <c r="K257" s="2"/>
      <c r="L257" s="2"/>
      <c r="M257" s="2"/>
      <c r="N257" s="2"/>
      <c r="O257" s="2"/>
      <c r="P257" s="2"/>
      <c r="Q257" s="2"/>
      <c r="R257" s="2"/>
      <c r="S257" s="2"/>
      <c r="T257" s="2"/>
      <c r="U257" s="2"/>
      <c r="V257" s="2"/>
      <c r="W257" s="2"/>
      <c r="X257" s="2"/>
    </row>
    <row r="258" spans="1:24" ht="31.5" x14ac:dyDescent="0.2">
      <c r="A258" s="16" t="str">
        <f>$C$4&amp;"-"&amp;TEXT(COUNTA($E$15:E258),"00")</f>
        <v>TC-229</v>
      </c>
      <c r="B258" s="31"/>
      <c r="C258" s="5" t="s">
        <v>842</v>
      </c>
      <c r="D258" s="5" t="s">
        <v>843</v>
      </c>
      <c r="E258" s="5" t="s">
        <v>844</v>
      </c>
      <c r="F258" s="1" t="s">
        <v>24</v>
      </c>
      <c r="G258" s="5"/>
      <c r="H258" s="2"/>
      <c r="I258" s="2"/>
      <c r="J258" s="2"/>
      <c r="K258" s="2"/>
      <c r="L258" s="2"/>
      <c r="M258" s="2"/>
      <c r="N258" s="2"/>
      <c r="O258" s="2"/>
      <c r="P258" s="2"/>
      <c r="Q258" s="2"/>
      <c r="R258" s="2"/>
      <c r="S258" s="2"/>
      <c r="T258" s="2"/>
      <c r="U258" s="2"/>
      <c r="V258" s="2"/>
      <c r="W258" s="2"/>
      <c r="X258" s="2"/>
    </row>
    <row r="259" spans="1:24" ht="63" x14ac:dyDescent="0.2">
      <c r="A259" s="16" t="str">
        <f>$C$4&amp;"-"&amp;TEXT(COUNTA($E$15:E259),"00")</f>
        <v>TC-230</v>
      </c>
      <c r="B259" s="31"/>
      <c r="C259" s="5" t="s">
        <v>845</v>
      </c>
      <c r="D259" s="5" t="s">
        <v>846</v>
      </c>
      <c r="E259" s="5" t="s">
        <v>847</v>
      </c>
      <c r="F259" s="1" t="s">
        <v>111</v>
      </c>
      <c r="G259" s="17" t="s">
        <v>848</v>
      </c>
      <c r="H259" s="2"/>
      <c r="I259" s="2"/>
      <c r="J259" s="2"/>
      <c r="K259" s="2"/>
      <c r="L259" s="2"/>
      <c r="M259" s="2"/>
      <c r="N259" s="2"/>
      <c r="O259" s="2"/>
      <c r="P259" s="2"/>
      <c r="Q259" s="2"/>
      <c r="R259" s="2"/>
      <c r="S259" s="2"/>
      <c r="T259" s="2"/>
      <c r="U259" s="2"/>
      <c r="V259" s="2"/>
      <c r="W259" s="2"/>
      <c r="X259" s="2"/>
    </row>
    <row r="260" spans="1:24" ht="47.25" x14ac:dyDescent="0.2">
      <c r="A260" s="16" t="str">
        <f>$C$4&amp;"-"&amp;TEXT(COUNTA($E$15:E260),"00")</f>
        <v>TC-231</v>
      </c>
      <c r="B260" s="31"/>
      <c r="C260" s="5" t="s">
        <v>849</v>
      </c>
      <c r="D260" s="5" t="s">
        <v>850</v>
      </c>
      <c r="E260" s="5" t="s">
        <v>851</v>
      </c>
      <c r="F260" s="1" t="s">
        <v>24</v>
      </c>
      <c r="G260" s="17" t="s">
        <v>852</v>
      </c>
      <c r="H260" s="2"/>
      <c r="I260" s="2"/>
      <c r="J260" s="2"/>
      <c r="K260" s="2"/>
      <c r="L260" s="2"/>
      <c r="M260" s="2"/>
      <c r="N260" s="2"/>
      <c r="O260" s="2"/>
      <c r="P260" s="2"/>
      <c r="Q260" s="2"/>
      <c r="R260" s="2"/>
      <c r="S260" s="2"/>
      <c r="T260" s="2"/>
      <c r="U260" s="2"/>
      <c r="V260" s="2"/>
      <c r="W260" s="2"/>
      <c r="X260" s="2"/>
    </row>
    <row r="261" spans="1:24" ht="31.5" x14ac:dyDescent="0.2">
      <c r="A261" s="16" t="str">
        <f>$C$4&amp;"-"&amp;TEXT(COUNTA($E$15:E261),"00")</f>
        <v>TC-232</v>
      </c>
      <c r="B261" s="31"/>
      <c r="C261" s="5" t="s">
        <v>853</v>
      </c>
      <c r="D261" s="5" t="s">
        <v>854</v>
      </c>
      <c r="E261" s="5" t="s">
        <v>855</v>
      </c>
      <c r="F261" s="1" t="s">
        <v>24</v>
      </c>
      <c r="G261" s="5"/>
      <c r="H261" s="2"/>
      <c r="I261" s="2"/>
      <c r="J261" s="2"/>
      <c r="K261" s="2"/>
      <c r="L261" s="2"/>
      <c r="M261" s="2"/>
      <c r="N261" s="2"/>
      <c r="O261" s="2"/>
      <c r="P261" s="2"/>
      <c r="Q261" s="2"/>
      <c r="R261" s="2"/>
      <c r="S261" s="2"/>
      <c r="T261" s="2"/>
      <c r="U261" s="2"/>
      <c r="V261" s="2"/>
      <c r="W261" s="2"/>
      <c r="X261" s="2"/>
    </row>
    <row r="262" spans="1:24" ht="31.5" x14ac:dyDescent="0.2">
      <c r="A262" s="16" t="str">
        <f>$C$4&amp;"-"&amp;TEXT(COUNTA($E$15:E262),"00")</f>
        <v>TC-233</v>
      </c>
      <c r="B262" s="31"/>
      <c r="C262" s="5" t="s">
        <v>856</v>
      </c>
      <c r="D262" s="5" t="s">
        <v>857</v>
      </c>
      <c r="E262" s="5" t="s">
        <v>858</v>
      </c>
      <c r="F262" s="1" t="s">
        <v>24</v>
      </c>
      <c r="G262" s="5"/>
      <c r="H262" s="2"/>
      <c r="I262" s="2"/>
      <c r="J262" s="2"/>
      <c r="K262" s="2"/>
      <c r="L262" s="2"/>
      <c r="M262" s="2"/>
      <c r="N262" s="2"/>
      <c r="O262" s="2"/>
      <c r="P262" s="2"/>
      <c r="Q262" s="2"/>
      <c r="R262" s="2"/>
      <c r="S262" s="2"/>
      <c r="T262" s="2"/>
      <c r="U262" s="2"/>
      <c r="V262" s="2"/>
      <c r="W262" s="2"/>
      <c r="X262" s="2"/>
    </row>
    <row r="263" spans="1:24" ht="31.5" x14ac:dyDescent="0.2">
      <c r="A263" s="16" t="str">
        <f>$C$4&amp;"-"&amp;TEXT(COUNTA($E$15:E263),"00")</f>
        <v>TC-234</v>
      </c>
      <c r="B263" s="31"/>
      <c r="C263" s="5" t="s">
        <v>859</v>
      </c>
      <c r="D263" s="5" t="s">
        <v>860</v>
      </c>
      <c r="E263" s="5" t="s">
        <v>861</v>
      </c>
      <c r="F263" s="1" t="s">
        <v>24</v>
      </c>
      <c r="G263" s="5"/>
      <c r="H263" s="2"/>
      <c r="I263" s="2"/>
      <c r="J263" s="2"/>
      <c r="K263" s="2"/>
      <c r="L263" s="2"/>
      <c r="M263" s="2"/>
      <c r="N263" s="2"/>
      <c r="O263" s="2"/>
      <c r="P263" s="2"/>
      <c r="Q263" s="2"/>
      <c r="R263" s="2"/>
      <c r="S263" s="2"/>
      <c r="T263" s="2"/>
      <c r="U263" s="2"/>
      <c r="V263" s="2"/>
      <c r="W263" s="2"/>
      <c r="X263" s="2"/>
    </row>
    <row r="264" spans="1:24" ht="31.5" x14ac:dyDescent="0.2">
      <c r="A264" s="16" t="str">
        <f>$C$4&amp;"-"&amp;TEXT(COUNTA($E$15:E264),"00")</f>
        <v>TC-235</v>
      </c>
      <c r="B264" s="31"/>
      <c r="C264" s="5" t="s">
        <v>862</v>
      </c>
      <c r="D264" s="5" t="s">
        <v>863</v>
      </c>
      <c r="E264" s="5" t="s">
        <v>864</v>
      </c>
      <c r="F264" s="1" t="s">
        <v>24</v>
      </c>
      <c r="G264" s="5"/>
      <c r="H264" s="2"/>
      <c r="I264" s="2"/>
      <c r="J264" s="2"/>
      <c r="K264" s="2"/>
      <c r="L264" s="2"/>
      <c r="M264" s="2"/>
      <c r="N264" s="2"/>
      <c r="O264" s="2"/>
      <c r="P264" s="2"/>
      <c r="Q264" s="2"/>
      <c r="R264" s="2"/>
      <c r="S264" s="2"/>
      <c r="T264" s="2"/>
      <c r="U264" s="2"/>
      <c r="V264" s="2"/>
      <c r="W264" s="2"/>
      <c r="X264" s="2"/>
    </row>
    <row r="265" spans="1:24" ht="78.75" x14ac:dyDescent="0.2">
      <c r="A265" s="16" t="str">
        <f>$C$4&amp;"-"&amp;TEXT(COUNTA($E$15:E265),"00")</f>
        <v>TC-236</v>
      </c>
      <c r="B265" s="31"/>
      <c r="C265" s="5" t="s">
        <v>865</v>
      </c>
      <c r="D265" s="5" t="s">
        <v>866</v>
      </c>
      <c r="E265" s="5" t="s">
        <v>867</v>
      </c>
      <c r="F265" s="1" t="s">
        <v>24</v>
      </c>
      <c r="G265" s="5"/>
      <c r="H265" s="2"/>
      <c r="I265" s="2"/>
      <c r="J265" s="2"/>
      <c r="K265" s="2"/>
      <c r="L265" s="2"/>
      <c r="M265" s="2"/>
      <c r="N265" s="2"/>
      <c r="O265" s="2"/>
      <c r="P265" s="2"/>
      <c r="Q265" s="2"/>
      <c r="R265" s="2"/>
      <c r="S265" s="2"/>
      <c r="T265" s="2"/>
      <c r="U265" s="2"/>
      <c r="V265" s="2"/>
      <c r="W265" s="2"/>
      <c r="X265" s="2"/>
    </row>
    <row r="266" spans="1:24" ht="63" x14ac:dyDescent="0.2">
      <c r="A266" s="16" t="str">
        <f>$C$4&amp;"-"&amp;TEXT(COUNTA($E$15:E266),"00")</f>
        <v>TC-237</v>
      </c>
      <c r="B266" s="31"/>
      <c r="C266" s="5" t="s">
        <v>868</v>
      </c>
      <c r="D266" s="5" t="s">
        <v>869</v>
      </c>
      <c r="E266" s="5" t="s">
        <v>870</v>
      </c>
      <c r="F266" s="1" t="s">
        <v>24</v>
      </c>
      <c r="G266" s="5"/>
      <c r="H266" s="2"/>
      <c r="I266" s="2"/>
      <c r="J266" s="2"/>
      <c r="K266" s="2"/>
      <c r="L266" s="2"/>
      <c r="M266" s="2"/>
      <c r="N266" s="2"/>
      <c r="O266" s="2"/>
      <c r="P266" s="2"/>
      <c r="Q266" s="2"/>
      <c r="R266" s="2"/>
      <c r="S266" s="2"/>
      <c r="T266" s="2"/>
      <c r="U266" s="2"/>
      <c r="V266" s="2"/>
      <c r="W266" s="2"/>
      <c r="X266" s="2"/>
    </row>
    <row r="267" spans="1:24" ht="63" x14ac:dyDescent="0.2">
      <c r="A267" s="16" t="str">
        <f>$C$4&amp;"-"&amp;TEXT(COUNTA($E$15:E267),"00")</f>
        <v>TC-238</v>
      </c>
      <c r="B267" s="31"/>
      <c r="C267" s="5" t="s">
        <v>871</v>
      </c>
      <c r="D267" s="5" t="s">
        <v>872</v>
      </c>
      <c r="E267" s="5" t="s">
        <v>873</v>
      </c>
      <c r="F267" s="1" t="s">
        <v>111</v>
      </c>
      <c r="G267" s="5"/>
      <c r="H267" s="2"/>
      <c r="I267" s="2"/>
      <c r="J267" s="2"/>
      <c r="K267" s="2"/>
      <c r="L267" s="2"/>
      <c r="M267" s="2"/>
      <c r="N267" s="2"/>
      <c r="O267" s="2"/>
      <c r="P267" s="2"/>
      <c r="Q267" s="2"/>
      <c r="R267" s="2"/>
      <c r="S267" s="2"/>
      <c r="T267" s="2"/>
      <c r="U267" s="2"/>
      <c r="V267" s="2"/>
      <c r="W267" s="2"/>
      <c r="X267" s="2"/>
    </row>
    <row r="268" spans="1:24" ht="63" x14ac:dyDescent="0.2">
      <c r="A268" s="16" t="str">
        <f>$C$4&amp;"-"&amp;TEXT(COUNTA($E$15:E268),"00")</f>
        <v>TC-239</v>
      </c>
      <c r="B268" s="31"/>
      <c r="C268" s="5" t="s">
        <v>874</v>
      </c>
      <c r="D268" s="5" t="s">
        <v>875</v>
      </c>
      <c r="E268" s="5" t="s">
        <v>876</v>
      </c>
      <c r="F268" s="1" t="s">
        <v>24</v>
      </c>
      <c r="G268" s="5"/>
      <c r="H268" s="2"/>
      <c r="I268" s="2"/>
      <c r="J268" s="2"/>
      <c r="K268" s="2"/>
      <c r="L268" s="2"/>
      <c r="M268" s="2"/>
      <c r="N268" s="2"/>
      <c r="O268" s="2"/>
      <c r="P268" s="2"/>
      <c r="Q268" s="2"/>
      <c r="R268" s="2"/>
      <c r="S268" s="2"/>
      <c r="T268" s="2"/>
      <c r="U268" s="2"/>
      <c r="V268" s="2"/>
      <c r="W268" s="2"/>
      <c r="X268" s="2"/>
    </row>
    <row r="269" spans="1:24" ht="47.25" x14ac:dyDescent="0.2">
      <c r="A269" s="16" t="str">
        <f>$C$4&amp;"-"&amp;TEXT(COUNTA($E$15:E269),"00")</f>
        <v>TC-240</v>
      </c>
      <c r="B269" s="31"/>
      <c r="C269" s="5" t="s">
        <v>877</v>
      </c>
      <c r="D269" s="5" t="s">
        <v>878</v>
      </c>
      <c r="E269" s="5" t="s">
        <v>879</v>
      </c>
      <c r="F269" s="1" t="s">
        <v>24</v>
      </c>
      <c r="G269" s="5"/>
      <c r="H269" s="2"/>
      <c r="I269" s="2"/>
      <c r="J269" s="2"/>
      <c r="K269" s="2"/>
      <c r="L269" s="2"/>
      <c r="M269" s="2"/>
      <c r="N269" s="2"/>
      <c r="O269" s="2"/>
      <c r="P269" s="2"/>
      <c r="Q269" s="2"/>
      <c r="R269" s="2"/>
      <c r="S269" s="2"/>
      <c r="T269" s="2"/>
      <c r="U269" s="2"/>
      <c r="V269" s="2"/>
      <c r="W269" s="2"/>
      <c r="X269" s="2"/>
    </row>
    <row r="270" spans="1:24" ht="31.5" x14ac:dyDescent="0.2">
      <c r="A270" s="16" t="str">
        <f>$C$4&amp;"-"&amp;TEXT(COUNTA($E$15:E270),"00")</f>
        <v>TC-241</v>
      </c>
      <c r="B270" s="32"/>
      <c r="C270" s="5" t="s">
        <v>880</v>
      </c>
      <c r="D270" s="5" t="s">
        <v>881</v>
      </c>
      <c r="E270" s="5" t="s">
        <v>882</v>
      </c>
      <c r="F270" s="1" t="s">
        <v>24</v>
      </c>
      <c r="G270" s="15"/>
      <c r="H270" s="2"/>
      <c r="I270" s="2"/>
      <c r="J270" s="2"/>
      <c r="K270" s="2"/>
      <c r="L270" s="2"/>
      <c r="M270" s="2"/>
      <c r="N270" s="2"/>
      <c r="O270" s="2"/>
      <c r="P270" s="2"/>
      <c r="Q270" s="2"/>
      <c r="R270" s="2"/>
      <c r="S270" s="2"/>
      <c r="T270" s="2"/>
      <c r="U270" s="2"/>
      <c r="V270" s="2"/>
      <c r="W270" s="2"/>
      <c r="X270" s="2"/>
    </row>
    <row r="271" spans="1:24" x14ac:dyDescent="0.2">
      <c r="A271" s="16" t="str">
        <f>$C$4&amp;"-"&amp;TEXT(COUNTA($E$15:E271),"00")</f>
        <v>TC-242</v>
      </c>
      <c r="B271" s="36" t="s">
        <v>883</v>
      </c>
      <c r="C271" s="5" t="s">
        <v>833</v>
      </c>
      <c r="D271" s="5" t="s">
        <v>834</v>
      </c>
      <c r="E271" s="5" t="s">
        <v>884</v>
      </c>
      <c r="F271" s="1" t="s">
        <v>24</v>
      </c>
      <c r="G271" s="5"/>
      <c r="H271" s="2"/>
      <c r="I271" s="2"/>
      <c r="J271" s="2"/>
      <c r="K271" s="2"/>
      <c r="L271" s="2"/>
      <c r="M271" s="2"/>
      <c r="N271" s="2"/>
      <c r="O271" s="2"/>
      <c r="P271" s="2"/>
      <c r="Q271" s="2"/>
      <c r="R271" s="2"/>
      <c r="S271" s="2"/>
      <c r="T271" s="2"/>
      <c r="U271" s="2"/>
      <c r="V271" s="2"/>
      <c r="W271" s="2"/>
      <c r="X271" s="2"/>
    </row>
    <row r="272" spans="1:24" ht="47.25" x14ac:dyDescent="0.2">
      <c r="A272" s="16" t="str">
        <f>$C$4&amp;"-"&amp;TEXT(COUNTA($E$15:E272),"00")</f>
        <v>TC-243</v>
      </c>
      <c r="B272" s="31"/>
      <c r="C272" s="5" t="s">
        <v>885</v>
      </c>
      <c r="D272" s="5" t="s">
        <v>886</v>
      </c>
      <c r="E272" s="5" t="s">
        <v>887</v>
      </c>
      <c r="F272" s="1" t="s">
        <v>24</v>
      </c>
      <c r="G272" s="5"/>
      <c r="H272" s="2"/>
      <c r="I272" s="2"/>
      <c r="J272" s="2"/>
      <c r="K272" s="2"/>
      <c r="L272" s="2"/>
      <c r="M272" s="2"/>
      <c r="N272" s="2"/>
      <c r="O272" s="2"/>
      <c r="P272" s="2"/>
      <c r="Q272" s="2"/>
      <c r="R272" s="2"/>
      <c r="S272" s="2"/>
      <c r="T272" s="2"/>
      <c r="U272" s="2"/>
      <c r="V272" s="2"/>
      <c r="W272" s="2"/>
      <c r="X272" s="2"/>
    </row>
    <row r="273" spans="1:24" x14ac:dyDescent="0.2">
      <c r="A273" s="16" t="str">
        <f>$C$4&amp;"-"&amp;TEXT(COUNTA($E$15:E273),"00")</f>
        <v>TC-244</v>
      </c>
      <c r="B273" s="31"/>
      <c r="C273" s="5" t="s">
        <v>888</v>
      </c>
      <c r="D273" s="5" t="s">
        <v>889</v>
      </c>
      <c r="E273" s="5" t="s">
        <v>890</v>
      </c>
      <c r="F273" s="1" t="s">
        <v>24</v>
      </c>
      <c r="G273" s="5"/>
      <c r="H273" s="2"/>
      <c r="I273" s="2"/>
      <c r="J273" s="2"/>
      <c r="K273" s="2"/>
      <c r="L273" s="2"/>
      <c r="M273" s="2"/>
      <c r="N273" s="2"/>
      <c r="O273" s="2"/>
      <c r="P273" s="2"/>
      <c r="Q273" s="2"/>
      <c r="R273" s="2"/>
      <c r="S273" s="2"/>
      <c r="T273" s="2"/>
      <c r="U273" s="2"/>
      <c r="V273" s="2"/>
      <c r="W273" s="2"/>
      <c r="X273" s="2"/>
    </row>
    <row r="274" spans="1:24" x14ac:dyDescent="0.2">
      <c r="A274" s="16" t="str">
        <f>$C$4&amp;"-"&amp;TEXT(COUNTA($E$15:E274),"00")</f>
        <v>TC-245</v>
      </c>
      <c r="B274" s="31"/>
      <c r="C274" s="5" t="s">
        <v>891</v>
      </c>
      <c r="D274" s="5" t="s">
        <v>892</v>
      </c>
      <c r="E274" s="5" t="s">
        <v>890</v>
      </c>
      <c r="F274" s="1" t="s">
        <v>24</v>
      </c>
      <c r="G274" s="5"/>
      <c r="H274" s="2"/>
      <c r="I274" s="2"/>
      <c r="J274" s="2"/>
      <c r="K274" s="2"/>
      <c r="L274" s="2"/>
      <c r="M274" s="2"/>
      <c r="N274" s="2"/>
      <c r="O274" s="2"/>
      <c r="P274" s="2"/>
      <c r="Q274" s="2"/>
      <c r="R274" s="2"/>
      <c r="S274" s="2"/>
      <c r="T274" s="2"/>
      <c r="U274" s="2"/>
      <c r="V274" s="2"/>
      <c r="W274" s="2"/>
      <c r="X274" s="2"/>
    </row>
    <row r="275" spans="1:24" x14ac:dyDescent="0.2">
      <c r="A275" s="16" t="str">
        <f>$C$4&amp;"-"&amp;TEXT(COUNTA($E$15:E275),"00")</f>
        <v>TC-246</v>
      </c>
      <c r="B275" s="31"/>
      <c r="C275" s="5" t="s">
        <v>893</v>
      </c>
      <c r="D275" s="5" t="s">
        <v>894</v>
      </c>
      <c r="E275" s="5" t="s">
        <v>895</v>
      </c>
      <c r="F275" s="1" t="s">
        <v>24</v>
      </c>
      <c r="G275" s="5"/>
      <c r="H275" s="2"/>
      <c r="I275" s="2"/>
      <c r="J275" s="2"/>
      <c r="K275" s="2"/>
      <c r="L275" s="2"/>
      <c r="M275" s="2"/>
      <c r="N275" s="2"/>
      <c r="O275" s="2"/>
      <c r="P275" s="2"/>
      <c r="Q275" s="2"/>
      <c r="R275" s="2"/>
      <c r="S275" s="2"/>
      <c r="T275" s="2"/>
      <c r="U275" s="2"/>
      <c r="V275" s="2"/>
      <c r="W275" s="2"/>
      <c r="X275" s="2"/>
    </row>
    <row r="276" spans="1:24" ht="47.25" x14ac:dyDescent="0.2">
      <c r="A276" s="16" t="str">
        <f>$C$4&amp;"-"&amp;TEXT(COUNTA($E$15:E276),"00")</f>
        <v>TC-247</v>
      </c>
      <c r="B276" s="31"/>
      <c r="C276" s="5" t="s">
        <v>896</v>
      </c>
      <c r="D276" s="5" t="s">
        <v>897</v>
      </c>
      <c r="E276" s="5" t="s">
        <v>898</v>
      </c>
      <c r="F276" s="1" t="s">
        <v>24</v>
      </c>
      <c r="G276" s="5"/>
      <c r="H276" s="2"/>
      <c r="I276" s="2"/>
      <c r="J276" s="2"/>
      <c r="K276" s="2"/>
      <c r="L276" s="2"/>
      <c r="M276" s="2"/>
      <c r="N276" s="2"/>
      <c r="O276" s="2"/>
      <c r="P276" s="2"/>
      <c r="Q276" s="2"/>
      <c r="R276" s="2"/>
      <c r="S276" s="2"/>
      <c r="T276" s="2"/>
      <c r="U276" s="2"/>
      <c r="V276" s="2"/>
      <c r="W276" s="2"/>
      <c r="X276" s="2"/>
    </row>
    <row r="277" spans="1:24" ht="47.25" x14ac:dyDescent="0.2">
      <c r="A277" s="16" t="str">
        <f>$C$4&amp;"-"&amp;TEXT(COUNTA($E$15:E277),"00")</f>
        <v>TC-248</v>
      </c>
      <c r="B277" s="31"/>
      <c r="C277" s="5" t="s">
        <v>899</v>
      </c>
      <c r="D277" s="5" t="s">
        <v>900</v>
      </c>
      <c r="E277" s="5" t="s">
        <v>901</v>
      </c>
      <c r="F277" s="1" t="s">
        <v>24</v>
      </c>
      <c r="G277" s="5"/>
      <c r="H277" s="2"/>
      <c r="I277" s="2"/>
      <c r="J277" s="2"/>
      <c r="K277" s="2"/>
      <c r="L277" s="2"/>
      <c r="M277" s="2"/>
      <c r="N277" s="2"/>
      <c r="O277" s="2"/>
      <c r="P277" s="2"/>
      <c r="Q277" s="2"/>
      <c r="R277" s="2"/>
      <c r="S277" s="2"/>
      <c r="T277" s="2"/>
      <c r="U277" s="2"/>
      <c r="V277" s="2"/>
      <c r="W277" s="2"/>
      <c r="X277" s="2"/>
    </row>
    <row r="278" spans="1:24" ht="31.5" x14ac:dyDescent="0.2">
      <c r="A278" s="16" t="str">
        <f>$C$4&amp;"-"&amp;TEXT(COUNTA($E$15:E278),"00")</f>
        <v>TC-249</v>
      </c>
      <c r="B278" s="32"/>
      <c r="C278" s="5" t="s">
        <v>902</v>
      </c>
      <c r="D278" s="5" t="s">
        <v>903</v>
      </c>
      <c r="E278" s="5" t="s">
        <v>904</v>
      </c>
      <c r="F278" s="1" t="s">
        <v>24</v>
      </c>
      <c r="G278" s="5"/>
      <c r="H278" s="2"/>
      <c r="I278" s="2"/>
      <c r="J278" s="2"/>
      <c r="K278" s="2"/>
      <c r="L278" s="2"/>
      <c r="M278" s="2"/>
      <c r="N278" s="2"/>
      <c r="O278" s="2"/>
      <c r="P278" s="2"/>
      <c r="Q278" s="2"/>
      <c r="R278" s="2"/>
      <c r="S278" s="2"/>
      <c r="T278" s="2"/>
      <c r="U278" s="2"/>
      <c r="V278" s="2"/>
      <c r="W278" s="2"/>
      <c r="X278" s="2"/>
    </row>
    <row r="279" spans="1:24" ht="31.5" x14ac:dyDescent="0.2">
      <c r="A279" s="16" t="str">
        <f>$C$4&amp;"-"&amp;TEXT(COUNTA($E$15:E279),"00")</f>
        <v>TC-250</v>
      </c>
      <c r="B279" s="36" t="s">
        <v>905</v>
      </c>
      <c r="C279" s="5" t="s">
        <v>836</v>
      </c>
      <c r="D279" s="5" t="s">
        <v>906</v>
      </c>
      <c r="E279" s="5" t="s">
        <v>907</v>
      </c>
      <c r="F279" s="1" t="s">
        <v>24</v>
      </c>
      <c r="G279" s="5"/>
      <c r="H279" s="2"/>
      <c r="I279" s="2"/>
      <c r="J279" s="2"/>
      <c r="K279" s="2"/>
      <c r="L279" s="2"/>
      <c r="M279" s="2"/>
      <c r="N279" s="2"/>
      <c r="O279" s="2"/>
      <c r="P279" s="2"/>
      <c r="Q279" s="2"/>
      <c r="R279" s="2"/>
      <c r="S279" s="2"/>
      <c r="T279" s="2"/>
      <c r="U279" s="2"/>
      <c r="V279" s="2"/>
      <c r="W279" s="2"/>
      <c r="X279" s="2"/>
    </row>
    <row r="280" spans="1:24" ht="31.5" x14ac:dyDescent="0.2">
      <c r="A280" s="16" t="str">
        <f>$C$4&amp;"-"&amp;TEXT(COUNTA($E$15:E280),"00")</f>
        <v>TC-251</v>
      </c>
      <c r="B280" s="31"/>
      <c r="C280" s="5" t="s">
        <v>908</v>
      </c>
      <c r="D280" s="5" t="s">
        <v>909</v>
      </c>
      <c r="E280" s="5" t="s">
        <v>910</v>
      </c>
      <c r="F280" s="1" t="s">
        <v>111</v>
      </c>
      <c r="G280" s="5"/>
      <c r="H280" s="2"/>
      <c r="I280" s="2"/>
      <c r="J280" s="2"/>
      <c r="K280" s="2"/>
      <c r="L280" s="2"/>
      <c r="M280" s="2"/>
      <c r="N280" s="2"/>
      <c r="O280" s="2"/>
      <c r="P280" s="2"/>
      <c r="Q280" s="2"/>
      <c r="R280" s="2"/>
      <c r="S280" s="2"/>
      <c r="T280" s="2"/>
      <c r="U280" s="2"/>
      <c r="V280" s="2"/>
      <c r="W280" s="2"/>
      <c r="X280" s="2"/>
    </row>
    <row r="281" spans="1:24" ht="47.25" x14ac:dyDescent="0.2">
      <c r="A281" s="16" t="str">
        <f>$C$4&amp;"-"&amp;TEXT(COUNTA($E$15:E281),"00")</f>
        <v>TC-252</v>
      </c>
      <c r="B281" s="31"/>
      <c r="C281" s="5" t="s">
        <v>911</v>
      </c>
      <c r="D281" s="5" t="s">
        <v>912</v>
      </c>
      <c r="E281" s="5" t="s">
        <v>913</v>
      </c>
      <c r="F281" s="1" t="s">
        <v>24</v>
      </c>
      <c r="G281" s="5"/>
      <c r="H281" s="2"/>
      <c r="I281" s="2"/>
      <c r="J281" s="2"/>
      <c r="K281" s="2"/>
      <c r="L281" s="2"/>
      <c r="M281" s="2"/>
      <c r="N281" s="2"/>
      <c r="O281" s="2"/>
      <c r="P281" s="2"/>
      <c r="Q281" s="2"/>
      <c r="R281" s="2"/>
      <c r="S281" s="2"/>
      <c r="T281" s="2"/>
      <c r="U281" s="2"/>
      <c r="V281" s="2"/>
      <c r="W281" s="2"/>
      <c r="X281" s="2"/>
    </row>
    <row r="282" spans="1:24" x14ac:dyDescent="0.2">
      <c r="A282" s="16" t="str">
        <f>$C$4&amp;"-"&amp;TEXT(COUNTA($E$15:E282),"00")</f>
        <v>TC-253</v>
      </c>
      <c r="B282" s="31"/>
      <c r="C282" s="5" t="s">
        <v>914</v>
      </c>
      <c r="D282" s="5" t="s">
        <v>915</v>
      </c>
      <c r="E282" s="5" t="s">
        <v>916</v>
      </c>
      <c r="F282" s="1" t="s">
        <v>111</v>
      </c>
      <c r="G282" s="5"/>
      <c r="H282" s="2"/>
      <c r="I282" s="2"/>
      <c r="J282" s="2"/>
      <c r="K282" s="2"/>
      <c r="L282" s="2"/>
      <c r="M282" s="2"/>
      <c r="N282" s="2"/>
      <c r="O282" s="2"/>
      <c r="P282" s="2"/>
      <c r="Q282" s="2"/>
      <c r="R282" s="2"/>
      <c r="S282" s="2"/>
      <c r="T282" s="2"/>
      <c r="U282" s="2"/>
      <c r="V282" s="2"/>
      <c r="W282" s="2"/>
      <c r="X282" s="2"/>
    </row>
    <row r="283" spans="1:24" x14ac:dyDescent="0.2">
      <c r="A283" s="16" t="str">
        <f>$C$4&amp;"-"&amp;TEXT(COUNTA($E$15:E283),"00")</f>
        <v>TC-254</v>
      </c>
      <c r="B283" s="31"/>
      <c r="C283" s="5" t="s">
        <v>917</v>
      </c>
      <c r="D283" s="5" t="s">
        <v>918</v>
      </c>
      <c r="E283" s="5" t="s">
        <v>919</v>
      </c>
      <c r="F283" s="1" t="s">
        <v>111</v>
      </c>
      <c r="G283" s="5"/>
      <c r="H283" s="2"/>
      <c r="I283" s="2"/>
      <c r="J283" s="2"/>
      <c r="K283" s="2"/>
      <c r="L283" s="2"/>
      <c r="M283" s="2"/>
      <c r="N283" s="2"/>
      <c r="O283" s="2"/>
      <c r="P283" s="2"/>
      <c r="Q283" s="2"/>
      <c r="R283" s="2"/>
      <c r="S283" s="2"/>
      <c r="T283" s="2"/>
      <c r="U283" s="2"/>
      <c r="V283" s="2"/>
      <c r="W283" s="2"/>
      <c r="X283" s="2"/>
    </row>
    <row r="284" spans="1:24" x14ac:dyDescent="0.2">
      <c r="A284" s="16" t="str">
        <f>$C$4&amp;"-"&amp;TEXT(COUNTA($E$15:E284),"00")</f>
        <v>TC-255</v>
      </c>
      <c r="B284" s="31"/>
      <c r="C284" s="5" t="s">
        <v>920</v>
      </c>
      <c r="D284" s="5" t="s">
        <v>921</v>
      </c>
      <c r="E284" s="5" t="s">
        <v>922</v>
      </c>
      <c r="F284" s="1" t="s">
        <v>24</v>
      </c>
      <c r="G284" s="5"/>
      <c r="H284" s="2"/>
      <c r="I284" s="2"/>
      <c r="J284" s="2"/>
      <c r="K284" s="2"/>
      <c r="L284" s="2"/>
      <c r="M284" s="2"/>
      <c r="N284" s="2"/>
      <c r="O284" s="2"/>
      <c r="P284" s="2"/>
      <c r="Q284" s="2"/>
      <c r="R284" s="2"/>
      <c r="S284" s="2"/>
      <c r="T284" s="2"/>
      <c r="U284" s="2"/>
      <c r="V284" s="2"/>
      <c r="W284" s="2"/>
      <c r="X284" s="2"/>
    </row>
    <row r="285" spans="1:24" ht="47.25" x14ac:dyDescent="0.2">
      <c r="A285" s="16" t="str">
        <f>$C$4&amp;"-"&amp;TEXT(COUNTA($E$15:E285),"00")</f>
        <v>TC-256</v>
      </c>
      <c r="B285" s="31"/>
      <c r="C285" s="5" t="s">
        <v>923</v>
      </c>
      <c r="D285" s="5" t="s">
        <v>924</v>
      </c>
      <c r="E285" s="5" t="s">
        <v>925</v>
      </c>
      <c r="F285" s="18"/>
      <c r="G285" s="17" t="s">
        <v>926</v>
      </c>
      <c r="H285" s="2"/>
      <c r="I285" s="2"/>
      <c r="J285" s="2"/>
      <c r="K285" s="2"/>
      <c r="L285" s="2"/>
      <c r="M285" s="2"/>
      <c r="N285" s="2"/>
      <c r="O285" s="2"/>
      <c r="P285" s="2"/>
      <c r="Q285" s="2"/>
      <c r="R285" s="2"/>
      <c r="S285" s="2"/>
      <c r="T285" s="2"/>
      <c r="U285" s="2"/>
      <c r="V285" s="2"/>
      <c r="W285" s="2"/>
      <c r="X285" s="2"/>
    </row>
    <row r="286" spans="1:24" ht="63" x14ac:dyDescent="0.2">
      <c r="A286" s="16" t="str">
        <f>$C$4&amp;"-"&amp;TEXT(COUNTA($E$15:E286),"00")</f>
        <v>TC-257</v>
      </c>
      <c r="B286" s="31"/>
      <c r="C286" s="5" t="s">
        <v>927</v>
      </c>
      <c r="D286" s="5" t="s">
        <v>928</v>
      </c>
      <c r="E286" s="5" t="s">
        <v>929</v>
      </c>
      <c r="F286" s="1" t="s">
        <v>24</v>
      </c>
      <c r="G286" s="5"/>
      <c r="H286" s="2"/>
      <c r="I286" s="2"/>
      <c r="J286" s="2"/>
      <c r="K286" s="2"/>
      <c r="L286" s="2"/>
      <c r="M286" s="2"/>
      <c r="N286" s="2"/>
      <c r="O286" s="2"/>
      <c r="P286" s="2"/>
      <c r="Q286" s="2"/>
      <c r="R286" s="2"/>
      <c r="S286" s="2"/>
      <c r="T286" s="2"/>
      <c r="U286" s="2"/>
      <c r="V286" s="2"/>
      <c r="W286" s="2"/>
      <c r="X286" s="2"/>
    </row>
    <row r="287" spans="1:24" ht="63" x14ac:dyDescent="0.2">
      <c r="A287" s="16" t="str">
        <f>$C$4&amp;"-"&amp;TEXT(COUNTA($E$15:E287),"00")</f>
        <v>TC-258</v>
      </c>
      <c r="B287" s="31"/>
      <c r="C287" s="5" t="s">
        <v>930</v>
      </c>
      <c r="D287" s="5" t="s">
        <v>931</v>
      </c>
      <c r="E287" s="5" t="s">
        <v>932</v>
      </c>
      <c r="F287" s="1" t="s">
        <v>24</v>
      </c>
      <c r="G287" s="5"/>
      <c r="H287" s="2"/>
      <c r="I287" s="2"/>
      <c r="J287" s="2"/>
      <c r="K287" s="2"/>
      <c r="L287" s="2"/>
      <c r="M287" s="2"/>
      <c r="N287" s="2"/>
      <c r="O287" s="2"/>
      <c r="P287" s="2"/>
      <c r="Q287" s="2"/>
      <c r="R287" s="2"/>
      <c r="S287" s="2"/>
      <c r="T287" s="2"/>
      <c r="U287" s="2"/>
      <c r="V287" s="2"/>
      <c r="W287" s="2"/>
      <c r="X287" s="2"/>
    </row>
    <row r="288" spans="1:24" ht="63" x14ac:dyDescent="0.2">
      <c r="A288" s="16" t="str">
        <f>$C$4&amp;"-"&amp;TEXT(COUNTA($E$15:E288),"00")</f>
        <v>TC-259</v>
      </c>
      <c r="B288" s="31"/>
      <c r="C288" s="5" t="s">
        <v>933</v>
      </c>
      <c r="D288" s="5" t="s">
        <v>934</v>
      </c>
      <c r="E288" s="5" t="s">
        <v>935</v>
      </c>
      <c r="F288" s="1" t="s">
        <v>24</v>
      </c>
      <c r="G288" s="5"/>
      <c r="H288" s="2"/>
      <c r="I288" s="2"/>
      <c r="J288" s="2"/>
      <c r="K288" s="2"/>
      <c r="L288" s="2"/>
      <c r="M288" s="2"/>
      <c r="N288" s="2"/>
      <c r="O288" s="2"/>
      <c r="P288" s="2"/>
      <c r="Q288" s="2"/>
      <c r="R288" s="2"/>
      <c r="S288" s="2"/>
      <c r="T288" s="2"/>
      <c r="U288" s="2"/>
      <c r="V288" s="2"/>
      <c r="W288" s="2"/>
      <c r="X288" s="2"/>
    </row>
    <row r="289" spans="1:24" ht="63" x14ac:dyDescent="0.2">
      <c r="A289" s="16" t="str">
        <f>$C$4&amp;"-"&amp;TEXT(COUNTA($E$15:E289),"00")</f>
        <v>TC-260</v>
      </c>
      <c r="B289" s="31"/>
      <c r="C289" s="5" t="s">
        <v>936</v>
      </c>
      <c r="D289" s="5" t="s">
        <v>937</v>
      </c>
      <c r="E289" s="5" t="s">
        <v>938</v>
      </c>
      <c r="F289" s="1" t="s">
        <v>24</v>
      </c>
      <c r="G289" s="5"/>
      <c r="H289" s="2"/>
      <c r="I289" s="2"/>
      <c r="J289" s="2"/>
      <c r="K289" s="2"/>
      <c r="L289" s="2"/>
      <c r="M289" s="2"/>
      <c r="N289" s="2"/>
      <c r="O289" s="2"/>
      <c r="P289" s="2"/>
      <c r="Q289" s="2"/>
      <c r="R289" s="2"/>
      <c r="S289" s="2"/>
      <c r="T289" s="2"/>
      <c r="U289" s="2"/>
      <c r="V289" s="2"/>
      <c r="W289" s="2"/>
      <c r="X289" s="2"/>
    </row>
    <row r="290" spans="1:24" ht="47.25" x14ac:dyDescent="0.2">
      <c r="A290" s="16" t="str">
        <f>$C$4&amp;"-"&amp;TEXT(COUNTA($E$15:E290),"00")</f>
        <v>TC-261</v>
      </c>
      <c r="B290" s="31"/>
      <c r="C290" s="5" t="s">
        <v>939</v>
      </c>
      <c r="D290" s="5" t="s">
        <v>940</v>
      </c>
      <c r="E290" s="5" t="s">
        <v>941</v>
      </c>
      <c r="F290" s="1" t="s">
        <v>24</v>
      </c>
      <c r="G290" s="5"/>
      <c r="H290" s="2"/>
      <c r="I290" s="2"/>
      <c r="J290" s="2"/>
      <c r="K290" s="2"/>
      <c r="L290" s="2"/>
      <c r="M290" s="2"/>
      <c r="N290" s="2"/>
      <c r="O290" s="2"/>
      <c r="P290" s="2"/>
      <c r="Q290" s="2"/>
      <c r="R290" s="2"/>
      <c r="S290" s="2"/>
      <c r="T290" s="2"/>
      <c r="U290" s="2"/>
      <c r="V290" s="2"/>
      <c r="W290" s="2"/>
      <c r="X290" s="2"/>
    </row>
    <row r="291" spans="1:24" ht="47.25" x14ac:dyDescent="0.2">
      <c r="A291" s="16" t="str">
        <f>$C$4&amp;"-"&amp;TEXT(COUNTA($E$15:E291),"00")</f>
        <v>TC-262</v>
      </c>
      <c r="B291" s="31"/>
      <c r="C291" s="5" t="s">
        <v>942</v>
      </c>
      <c r="D291" s="5" t="s">
        <v>943</v>
      </c>
      <c r="E291" s="5" t="s">
        <v>944</v>
      </c>
      <c r="F291" s="1" t="s">
        <v>24</v>
      </c>
      <c r="G291" s="5"/>
      <c r="H291" s="2"/>
      <c r="I291" s="2"/>
      <c r="J291" s="2"/>
      <c r="K291" s="2"/>
      <c r="L291" s="2"/>
      <c r="M291" s="2"/>
      <c r="N291" s="2"/>
      <c r="O291" s="2"/>
      <c r="P291" s="2"/>
      <c r="Q291" s="2"/>
      <c r="R291" s="2"/>
      <c r="S291" s="2"/>
      <c r="T291" s="2"/>
      <c r="U291" s="2"/>
      <c r="V291" s="2"/>
      <c r="W291" s="2"/>
      <c r="X291" s="2"/>
    </row>
    <row r="292" spans="1:24" ht="78.75" x14ac:dyDescent="0.2">
      <c r="A292" s="16" t="str">
        <f>$C$4&amp;"-"&amp;TEXT(COUNTA($E$15:E292),"00")</f>
        <v>TC-263</v>
      </c>
      <c r="B292" s="31"/>
      <c r="C292" s="5" t="s">
        <v>945</v>
      </c>
      <c r="D292" s="5" t="s">
        <v>946</v>
      </c>
      <c r="E292" s="5" t="s">
        <v>947</v>
      </c>
      <c r="F292" s="1" t="s">
        <v>24</v>
      </c>
      <c r="G292" s="5"/>
      <c r="H292" s="2"/>
      <c r="I292" s="2"/>
      <c r="J292" s="2"/>
      <c r="K292" s="2"/>
      <c r="L292" s="2"/>
      <c r="M292" s="2"/>
      <c r="N292" s="2"/>
      <c r="O292" s="2"/>
      <c r="P292" s="2"/>
      <c r="Q292" s="2"/>
      <c r="R292" s="2"/>
      <c r="S292" s="2"/>
      <c r="T292" s="2"/>
      <c r="U292" s="2"/>
      <c r="V292" s="2"/>
      <c r="W292" s="2"/>
      <c r="X292" s="2"/>
    </row>
    <row r="293" spans="1:24" ht="47.25" x14ac:dyDescent="0.2">
      <c r="A293" s="16" t="str">
        <f>$C$4&amp;"-"&amp;TEXT(COUNTA($E$15:E293),"00")</f>
        <v>TC-264</v>
      </c>
      <c r="B293" s="32"/>
      <c r="C293" s="5" t="s">
        <v>948</v>
      </c>
      <c r="D293" s="5" t="s">
        <v>949</v>
      </c>
      <c r="E293" s="5" t="s">
        <v>944</v>
      </c>
      <c r="F293" s="1" t="s">
        <v>24</v>
      </c>
      <c r="G293" s="5"/>
      <c r="H293" s="2"/>
      <c r="I293" s="2"/>
      <c r="J293" s="2"/>
      <c r="K293" s="2"/>
      <c r="L293" s="2"/>
      <c r="M293" s="2"/>
      <c r="N293" s="2"/>
      <c r="O293" s="2"/>
      <c r="P293" s="2"/>
      <c r="Q293" s="2"/>
      <c r="R293" s="2"/>
      <c r="S293" s="2"/>
      <c r="T293" s="2"/>
      <c r="U293" s="2"/>
      <c r="V293" s="2"/>
      <c r="W293" s="2"/>
      <c r="X293" s="2"/>
    </row>
    <row r="294" spans="1:24" x14ac:dyDescent="0.2">
      <c r="A294" s="16" t="str">
        <f>$C$4&amp;"-"&amp;TEXT(COUNTA($E$15:E294),"00")</f>
        <v>TC-265</v>
      </c>
      <c r="B294" s="36" t="s">
        <v>950</v>
      </c>
      <c r="C294" s="5" t="s">
        <v>951</v>
      </c>
      <c r="D294" s="5" t="s">
        <v>952</v>
      </c>
      <c r="E294" s="5" t="s">
        <v>953</v>
      </c>
      <c r="F294" s="1" t="s">
        <v>24</v>
      </c>
      <c r="G294" s="5"/>
      <c r="H294" s="2"/>
      <c r="I294" s="2"/>
      <c r="J294" s="2"/>
      <c r="K294" s="2"/>
      <c r="L294" s="2"/>
      <c r="M294" s="2"/>
      <c r="N294" s="2"/>
      <c r="O294" s="2"/>
      <c r="P294" s="2"/>
      <c r="Q294" s="2"/>
      <c r="R294" s="2"/>
      <c r="S294" s="2"/>
      <c r="T294" s="2"/>
      <c r="U294" s="2"/>
      <c r="V294" s="2"/>
      <c r="W294" s="2"/>
      <c r="X294" s="2"/>
    </row>
    <row r="295" spans="1:24" x14ac:dyDescent="0.2">
      <c r="A295" s="16" t="str">
        <f>$C$4&amp;"-"&amp;TEXT(COUNTA($E$15:E295),"00")</f>
        <v>TC-266</v>
      </c>
      <c r="B295" s="31"/>
      <c r="C295" s="5" t="s">
        <v>954</v>
      </c>
      <c r="D295" s="5" t="s">
        <v>955</v>
      </c>
      <c r="E295" s="5" t="s">
        <v>956</v>
      </c>
      <c r="F295" s="1" t="s">
        <v>24</v>
      </c>
      <c r="G295" s="5"/>
      <c r="H295" s="2"/>
      <c r="I295" s="2"/>
      <c r="J295" s="2"/>
      <c r="K295" s="2"/>
      <c r="L295" s="2"/>
      <c r="M295" s="2"/>
      <c r="N295" s="2"/>
      <c r="O295" s="2"/>
      <c r="P295" s="2"/>
      <c r="Q295" s="2"/>
      <c r="R295" s="2"/>
      <c r="S295" s="2"/>
      <c r="T295" s="2"/>
      <c r="U295" s="2"/>
      <c r="V295" s="2"/>
      <c r="W295" s="2"/>
      <c r="X295" s="2"/>
    </row>
    <row r="296" spans="1:24" ht="31.5" x14ac:dyDescent="0.2">
      <c r="A296" s="16" t="str">
        <f>$C$4&amp;"-"&amp;TEXT(COUNTA($E$15:E296),"00")</f>
        <v>TC-267</v>
      </c>
      <c r="B296" s="32"/>
      <c r="C296" s="5" t="s">
        <v>957</v>
      </c>
      <c r="D296" s="5" t="s">
        <v>958</v>
      </c>
      <c r="E296" s="5" t="s">
        <v>959</v>
      </c>
      <c r="F296" s="1" t="s">
        <v>24</v>
      </c>
      <c r="G296" s="5"/>
      <c r="H296" s="2"/>
      <c r="I296" s="2"/>
      <c r="J296" s="2"/>
      <c r="K296" s="2"/>
      <c r="L296" s="2"/>
      <c r="M296" s="2"/>
      <c r="N296" s="2"/>
      <c r="O296" s="2"/>
      <c r="P296" s="2"/>
      <c r="Q296" s="2"/>
      <c r="R296" s="2"/>
      <c r="S296" s="2"/>
      <c r="T296" s="2"/>
      <c r="U296" s="2"/>
      <c r="V296" s="2"/>
      <c r="W296" s="2"/>
      <c r="X296" s="2"/>
    </row>
    <row r="297" spans="1:24" ht="31.5" x14ac:dyDescent="0.2">
      <c r="A297" s="16" t="str">
        <f>$C$4&amp;"-"&amp;TEXT(COUNTA($E$15:E297),"00")</f>
        <v>TC-268</v>
      </c>
      <c r="B297" s="36" t="s">
        <v>960</v>
      </c>
      <c r="C297" s="5" t="s">
        <v>836</v>
      </c>
      <c r="D297" s="5" t="s">
        <v>961</v>
      </c>
      <c r="E297" s="5" t="s">
        <v>907</v>
      </c>
      <c r="F297" s="1" t="s">
        <v>24</v>
      </c>
      <c r="G297" s="5"/>
      <c r="H297" s="2"/>
      <c r="I297" s="2"/>
      <c r="J297" s="2"/>
      <c r="K297" s="2"/>
      <c r="L297" s="2"/>
      <c r="M297" s="2"/>
      <c r="N297" s="2"/>
      <c r="O297" s="2"/>
      <c r="P297" s="2"/>
      <c r="Q297" s="2"/>
      <c r="R297" s="2"/>
      <c r="S297" s="2"/>
      <c r="T297" s="2"/>
      <c r="U297" s="2"/>
      <c r="V297" s="2"/>
      <c r="W297" s="2"/>
      <c r="X297" s="2"/>
    </row>
    <row r="298" spans="1:24" ht="31.5" x14ac:dyDescent="0.2">
      <c r="A298" s="16" t="str">
        <f>$C$4&amp;"-"&amp;TEXT(COUNTA($E$15:E298),"00")</f>
        <v>TC-269</v>
      </c>
      <c r="B298" s="31"/>
      <c r="C298" s="5" t="s">
        <v>962</v>
      </c>
      <c r="D298" s="5" t="s">
        <v>963</v>
      </c>
      <c r="E298" s="5" t="s">
        <v>964</v>
      </c>
      <c r="F298" s="1" t="s">
        <v>24</v>
      </c>
      <c r="G298" s="5"/>
      <c r="H298" s="2"/>
      <c r="I298" s="2"/>
      <c r="J298" s="2"/>
      <c r="K298" s="2"/>
      <c r="L298" s="2"/>
      <c r="M298" s="2"/>
      <c r="N298" s="2"/>
      <c r="O298" s="2"/>
      <c r="P298" s="2"/>
      <c r="Q298" s="2"/>
      <c r="R298" s="2"/>
      <c r="S298" s="2"/>
      <c r="T298" s="2"/>
      <c r="U298" s="2"/>
      <c r="V298" s="2"/>
      <c r="W298" s="2"/>
      <c r="X298" s="2"/>
    </row>
    <row r="299" spans="1:24" ht="31.5" x14ac:dyDescent="0.2">
      <c r="A299" s="16" t="str">
        <f>$C$4&amp;"-"&amp;TEXT(COUNTA($E$15:E299),"00")</f>
        <v>TC-270</v>
      </c>
      <c r="B299" s="31"/>
      <c r="C299" s="5" t="s">
        <v>908</v>
      </c>
      <c r="D299" s="5" t="s">
        <v>909</v>
      </c>
      <c r="E299" s="5" t="s">
        <v>913</v>
      </c>
      <c r="F299" s="1" t="s">
        <v>111</v>
      </c>
      <c r="G299" s="5"/>
      <c r="H299" s="2"/>
      <c r="I299" s="2"/>
      <c r="J299" s="2"/>
      <c r="K299" s="2"/>
      <c r="L299" s="2"/>
      <c r="M299" s="2"/>
      <c r="N299" s="2"/>
      <c r="O299" s="2"/>
      <c r="P299" s="2"/>
      <c r="Q299" s="2"/>
      <c r="R299" s="2"/>
      <c r="S299" s="2"/>
      <c r="T299" s="2"/>
      <c r="U299" s="2"/>
      <c r="V299" s="2"/>
      <c r="W299" s="2"/>
      <c r="X299" s="2"/>
    </row>
    <row r="300" spans="1:24" ht="47.25" x14ac:dyDescent="0.2">
      <c r="A300" s="16" t="str">
        <f>$C$4&amp;"-"&amp;TEXT(COUNTA($E$15:E300),"00")</f>
        <v>TC-271</v>
      </c>
      <c r="B300" s="31"/>
      <c r="C300" s="5" t="s">
        <v>911</v>
      </c>
      <c r="D300" s="5" t="s">
        <v>912</v>
      </c>
      <c r="E300" s="5" t="s">
        <v>913</v>
      </c>
      <c r="F300" s="1" t="s">
        <v>24</v>
      </c>
      <c r="G300" s="5"/>
      <c r="H300" s="2"/>
      <c r="I300" s="2"/>
      <c r="J300" s="2"/>
      <c r="K300" s="2"/>
      <c r="L300" s="2"/>
      <c r="M300" s="2"/>
      <c r="N300" s="2"/>
      <c r="O300" s="2"/>
      <c r="P300" s="2"/>
      <c r="Q300" s="2"/>
      <c r="R300" s="2"/>
      <c r="S300" s="2"/>
      <c r="T300" s="2"/>
      <c r="U300" s="2"/>
      <c r="V300" s="2"/>
      <c r="W300" s="2"/>
      <c r="X300" s="2"/>
    </row>
    <row r="301" spans="1:24" x14ac:dyDescent="0.2">
      <c r="A301" s="16" t="str">
        <f>$C$4&amp;"-"&amp;TEXT(COUNTA($E$15:E301),"00")</f>
        <v>TC-272</v>
      </c>
      <c r="B301" s="31"/>
      <c r="C301" s="5" t="s">
        <v>914</v>
      </c>
      <c r="D301" s="5" t="s">
        <v>965</v>
      </c>
      <c r="E301" s="5" t="s">
        <v>916</v>
      </c>
      <c r="F301" s="1" t="s">
        <v>111</v>
      </c>
      <c r="G301" s="5"/>
      <c r="H301" s="2"/>
      <c r="I301" s="2"/>
      <c r="J301" s="2"/>
      <c r="K301" s="2"/>
      <c r="L301" s="2"/>
      <c r="M301" s="2"/>
      <c r="N301" s="2"/>
      <c r="O301" s="2"/>
      <c r="P301" s="2"/>
      <c r="Q301" s="2"/>
      <c r="R301" s="2"/>
      <c r="S301" s="2"/>
      <c r="T301" s="2"/>
      <c r="U301" s="2"/>
      <c r="V301" s="2"/>
      <c r="W301" s="2"/>
      <c r="X301" s="2"/>
    </row>
    <row r="302" spans="1:24" ht="31.5" x14ac:dyDescent="0.2">
      <c r="A302" s="16" t="str">
        <f>$C$4&amp;"-"&amp;TEXT(COUNTA($E$15:E302),"00")</f>
        <v>TC-273</v>
      </c>
      <c r="B302" s="31"/>
      <c r="C302" s="5" t="s">
        <v>917</v>
      </c>
      <c r="D302" s="5" t="s">
        <v>966</v>
      </c>
      <c r="E302" s="5" t="s">
        <v>967</v>
      </c>
      <c r="F302" s="1" t="s">
        <v>111</v>
      </c>
      <c r="G302" s="5"/>
      <c r="H302" s="2"/>
      <c r="I302" s="2"/>
      <c r="J302" s="2"/>
      <c r="K302" s="2"/>
      <c r="L302" s="2"/>
      <c r="M302" s="2"/>
      <c r="N302" s="2"/>
      <c r="O302" s="2"/>
      <c r="P302" s="2"/>
      <c r="Q302" s="2"/>
      <c r="R302" s="2"/>
      <c r="S302" s="2"/>
      <c r="T302" s="2"/>
      <c r="U302" s="2"/>
      <c r="V302" s="2"/>
      <c r="W302" s="2"/>
      <c r="X302" s="2"/>
    </row>
    <row r="303" spans="1:24" x14ac:dyDescent="0.2">
      <c r="A303" s="16" t="str">
        <f>$C$4&amp;"-"&amp;TEXT(COUNTA($E$15:E303),"00")</f>
        <v>TC-274</v>
      </c>
      <c r="B303" s="31"/>
      <c r="C303" s="5" t="s">
        <v>920</v>
      </c>
      <c r="D303" s="5" t="s">
        <v>968</v>
      </c>
      <c r="E303" s="5" t="s">
        <v>922</v>
      </c>
      <c r="F303" s="1" t="s">
        <v>111</v>
      </c>
      <c r="G303" s="5"/>
      <c r="H303" s="2"/>
      <c r="I303" s="2"/>
      <c r="J303" s="2"/>
      <c r="K303" s="2"/>
      <c r="L303" s="2"/>
      <c r="M303" s="2"/>
      <c r="N303" s="2"/>
      <c r="O303" s="2"/>
      <c r="P303" s="2"/>
      <c r="Q303" s="2"/>
      <c r="R303" s="2"/>
      <c r="S303" s="2"/>
      <c r="T303" s="2"/>
      <c r="U303" s="2"/>
      <c r="V303" s="2"/>
      <c r="W303" s="2"/>
      <c r="X303" s="2"/>
    </row>
    <row r="304" spans="1:24" x14ac:dyDescent="0.2">
      <c r="A304" s="16" t="str">
        <f>$C$4&amp;"-"&amp;TEXT(COUNTA($E$15:E304),"00")</f>
        <v>TC-275</v>
      </c>
      <c r="B304" s="31"/>
      <c r="C304" s="5" t="s">
        <v>969</v>
      </c>
      <c r="D304" s="5" t="s">
        <v>970</v>
      </c>
      <c r="E304" s="5" t="s">
        <v>971</v>
      </c>
      <c r="F304" s="1"/>
      <c r="G304" s="5"/>
      <c r="H304" s="2"/>
      <c r="I304" s="2"/>
      <c r="J304" s="2"/>
      <c r="K304" s="2"/>
      <c r="L304" s="2"/>
      <c r="M304" s="2"/>
      <c r="N304" s="2"/>
      <c r="O304" s="2"/>
      <c r="P304" s="2"/>
      <c r="Q304" s="2"/>
      <c r="R304" s="2"/>
      <c r="S304" s="2"/>
      <c r="T304" s="2"/>
      <c r="U304" s="2"/>
      <c r="V304" s="2"/>
      <c r="W304" s="2"/>
      <c r="X304" s="2"/>
    </row>
    <row r="305" spans="1:24" ht="47.25" x14ac:dyDescent="0.2">
      <c r="A305" s="16" t="str">
        <f>$C$4&amp;"-"&amp;TEXT(COUNTA($E$15:E305),"00")</f>
        <v>TC-276</v>
      </c>
      <c r="B305" s="32"/>
      <c r="C305" s="5" t="s">
        <v>972</v>
      </c>
      <c r="D305" s="5" t="s">
        <v>973</v>
      </c>
      <c r="E305" s="5" t="s">
        <v>974</v>
      </c>
      <c r="F305" s="1"/>
      <c r="G305" s="17" t="s">
        <v>975</v>
      </c>
      <c r="H305" s="2"/>
      <c r="I305" s="2"/>
      <c r="J305" s="2"/>
      <c r="K305" s="2"/>
      <c r="L305" s="2"/>
      <c r="M305" s="2"/>
      <c r="N305" s="2"/>
      <c r="O305" s="2"/>
      <c r="P305" s="2"/>
      <c r="Q305" s="2"/>
      <c r="R305" s="2"/>
      <c r="S305" s="2"/>
      <c r="T305" s="2"/>
      <c r="U305" s="2"/>
      <c r="V305" s="2"/>
      <c r="W305" s="2"/>
      <c r="X305" s="2"/>
    </row>
    <row r="306" spans="1:24" ht="31.5" x14ac:dyDescent="0.2">
      <c r="A306" s="16" t="str">
        <f>$C$4&amp;"-"&amp;TEXT(COUNTA($E$15:E306),"00")</f>
        <v>TC-277</v>
      </c>
      <c r="B306" s="5" t="s">
        <v>976</v>
      </c>
      <c r="C306" s="5" t="s">
        <v>977</v>
      </c>
      <c r="D306" s="5" t="s">
        <v>978</v>
      </c>
      <c r="E306" s="5" t="s">
        <v>979</v>
      </c>
      <c r="F306" s="1" t="s">
        <v>24</v>
      </c>
      <c r="G306" s="5"/>
      <c r="H306" s="2"/>
      <c r="I306" s="2"/>
      <c r="J306" s="2"/>
      <c r="K306" s="2"/>
      <c r="L306" s="2"/>
      <c r="M306" s="2"/>
      <c r="N306" s="2"/>
      <c r="O306" s="2"/>
      <c r="P306" s="2"/>
      <c r="Q306" s="2"/>
      <c r="R306" s="2"/>
      <c r="S306" s="2"/>
      <c r="T306" s="2"/>
      <c r="U306" s="2"/>
      <c r="V306" s="2"/>
      <c r="W306" s="2"/>
      <c r="X306" s="2"/>
    </row>
    <row r="307" spans="1:24" x14ac:dyDescent="0.2">
      <c r="A307" s="16" t="str">
        <f>$C$4&amp;"-"&amp;TEXT(COUNTA($E$15:E307),"00")</f>
        <v>TC-278</v>
      </c>
      <c r="B307" s="36" t="s">
        <v>980</v>
      </c>
      <c r="C307" s="5" t="s">
        <v>951</v>
      </c>
      <c r="D307" s="5" t="s">
        <v>981</v>
      </c>
      <c r="E307" s="5" t="s">
        <v>982</v>
      </c>
      <c r="F307" s="1" t="s">
        <v>24</v>
      </c>
      <c r="G307" s="5"/>
      <c r="H307" s="2"/>
      <c r="I307" s="2"/>
      <c r="J307" s="2"/>
      <c r="K307" s="2"/>
      <c r="L307" s="2"/>
      <c r="M307" s="2"/>
      <c r="N307" s="2"/>
      <c r="O307" s="2"/>
      <c r="P307" s="2"/>
      <c r="Q307" s="2"/>
      <c r="R307" s="2"/>
      <c r="S307" s="2"/>
      <c r="T307" s="2"/>
      <c r="U307" s="2"/>
      <c r="V307" s="2"/>
      <c r="W307" s="2"/>
      <c r="X307" s="2"/>
    </row>
    <row r="308" spans="1:24" x14ac:dyDescent="0.2">
      <c r="A308" s="16" t="str">
        <f>$C$4&amp;"-"&amp;TEXT(COUNTA($E$15:E308),"00")</f>
        <v>TC-279</v>
      </c>
      <c r="B308" s="31"/>
      <c r="C308" s="5" t="s">
        <v>983</v>
      </c>
      <c r="D308" s="5" t="s">
        <v>984</v>
      </c>
      <c r="E308" s="5" t="s">
        <v>985</v>
      </c>
      <c r="F308" s="1" t="s">
        <v>111</v>
      </c>
      <c r="G308" s="5"/>
      <c r="H308" s="2"/>
      <c r="I308" s="2"/>
      <c r="J308" s="2"/>
      <c r="K308" s="2"/>
      <c r="L308" s="2"/>
      <c r="M308" s="2"/>
      <c r="N308" s="2"/>
      <c r="O308" s="2"/>
      <c r="P308" s="2"/>
      <c r="Q308" s="2"/>
      <c r="R308" s="2"/>
      <c r="S308" s="2"/>
      <c r="T308" s="2"/>
      <c r="U308" s="2"/>
      <c r="V308" s="2"/>
      <c r="W308" s="2"/>
      <c r="X308" s="2"/>
    </row>
    <row r="309" spans="1:24" ht="47.25" x14ac:dyDescent="0.2">
      <c r="A309" s="16" t="str">
        <f>$C$4&amp;"-"&amp;TEXT(COUNTA($E$15:E309),"00")</f>
        <v>TC-280</v>
      </c>
      <c r="B309" s="32"/>
      <c r="C309" s="5" t="s">
        <v>986</v>
      </c>
      <c r="D309" s="5" t="s">
        <v>987</v>
      </c>
      <c r="E309" s="5" t="s">
        <v>988</v>
      </c>
      <c r="F309" s="1" t="s">
        <v>24</v>
      </c>
      <c r="G309" s="5"/>
      <c r="H309" s="2"/>
      <c r="I309" s="2"/>
      <c r="J309" s="2"/>
      <c r="K309" s="2"/>
      <c r="L309" s="2"/>
      <c r="M309" s="2"/>
      <c r="N309" s="2"/>
      <c r="O309" s="2"/>
      <c r="P309" s="2"/>
      <c r="Q309" s="2"/>
      <c r="R309" s="2"/>
      <c r="S309" s="2"/>
      <c r="T309" s="2"/>
      <c r="U309" s="2"/>
      <c r="V309" s="2"/>
      <c r="W309" s="2"/>
      <c r="X309" s="2"/>
    </row>
    <row r="310" spans="1:24" ht="47.25" x14ac:dyDescent="0.2">
      <c r="A310" s="16" t="str">
        <f>$C$4&amp;"-"&amp;TEXT(COUNTA($E$15:E310),"00")</f>
        <v>TC-281</v>
      </c>
      <c r="B310" s="36" t="s">
        <v>989</v>
      </c>
      <c r="C310" s="5" t="s">
        <v>990</v>
      </c>
      <c r="D310" s="5" t="s">
        <v>991</v>
      </c>
      <c r="E310" s="5" t="s">
        <v>887</v>
      </c>
      <c r="F310" s="1" t="s">
        <v>24</v>
      </c>
      <c r="G310" s="5"/>
      <c r="H310" s="2"/>
      <c r="I310" s="2"/>
      <c r="J310" s="2"/>
      <c r="K310" s="2"/>
      <c r="L310" s="2"/>
      <c r="M310" s="2"/>
      <c r="N310" s="2"/>
      <c r="O310" s="2"/>
      <c r="P310" s="2"/>
      <c r="Q310" s="2"/>
      <c r="R310" s="2"/>
      <c r="S310" s="2"/>
      <c r="T310" s="2"/>
      <c r="U310" s="2"/>
      <c r="V310" s="2"/>
      <c r="W310" s="2"/>
      <c r="X310" s="2"/>
    </row>
    <row r="311" spans="1:24" x14ac:dyDescent="0.2">
      <c r="A311" s="16" t="str">
        <f>$C$4&amp;"-"&amp;TEXT(COUNTA($E$15:E311),"00")</f>
        <v>TC-282</v>
      </c>
      <c r="B311" s="31"/>
      <c r="C311" s="5" t="s">
        <v>856</v>
      </c>
      <c r="D311" s="5" t="s">
        <v>992</v>
      </c>
      <c r="E311" s="5" t="s">
        <v>993</v>
      </c>
      <c r="F311" s="1" t="s">
        <v>111</v>
      </c>
      <c r="G311" s="5"/>
      <c r="H311" s="2"/>
      <c r="I311" s="2"/>
      <c r="J311" s="2"/>
      <c r="K311" s="2"/>
      <c r="L311" s="2"/>
      <c r="M311" s="2"/>
      <c r="N311" s="2"/>
      <c r="O311" s="2"/>
      <c r="P311" s="2"/>
      <c r="Q311" s="2"/>
      <c r="R311" s="2"/>
      <c r="S311" s="2"/>
      <c r="T311" s="2"/>
      <c r="U311" s="2"/>
      <c r="V311" s="2"/>
      <c r="W311" s="2"/>
      <c r="X311" s="2"/>
    </row>
    <row r="312" spans="1:24" x14ac:dyDescent="0.2">
      <c r="A312" s="16" t="str">
        <f>$C$4&amp;"-"&amp;TEXT(COUNTA($E$15:E312),"00")</f>
        <v>TC-283</v>
      </c>
      <c r="B312" s="31"/>
      <c r="C312" s="5" t="s">
        <v>859</v>
      </c>
      <c r="D312" s="5" t="s">
        <v>994</v>
      </c>
      <c r="E312" s="5" t="s">
        <v>995</v>
      </c>
      <c r="F312" s="1" t="s">
        <v>111</v>
      </c>
      <c r="G312" s="5"/>
      <c r="H312" s="2"/>
      <c r="I312" s="2"/>
      <c r="J312" s="2"/>
      <c r="K312" s="2"/>
      <c r="L312" s="2"/>
      <c r="M312" s="2"/>
      <c r="N312" s="2"/>
      <c r="O312" s="2"/>
      <c r="P312" s="2"/>
      <c r="Q312" s="2"/>
      <c r="R312" s="2"/>
      <c r="S312" s="2"/>
      <c r="T312" s="2"/>
      <c r="U312" s="2"/>
      <c r="V312" s="2"/>
      <c r="W312" s="2"/>
      <c r="X312" s="2"/>
    </row>
    <row r="313" spans="1:24" ht="31.5" x14ac:dyDescent="0.2">
      <c r="A313" s="16" t="str">
        <f>$C$4&amp;"-"&amp;TEXT(COUNTA($E$15:E313),"00")</f>
        <v>TC-284</v>
      </c>
      <c r="B313" s="32"/>
      <c r="C313" s="5" t="s">
        <v>896</v>
      </c>
      <c r="D313" s="5" t="s">
        <v>996</v>
      </c>
      <c r="E313" s="5" t="s">
        <v>898</v>
      </c>
      <c r="F313" s="1" t="s">
        <v>111</v>
      </c>
      <c r="G313" s="5"/>
      <c r="H313" s="2"/>
      <c r="I313" s="2"/>
      <c r="J313" s="2"/>
      <c r="K313" s="2"/>
      <c r="L313" s="2"/>
      <c r="M313" s="2"/>
      <c r="N313" s="2"/>
      <c r="O313" s="2"/>
      <c r="P313" s="2"/>
      <c r="Q313" s="2"/>
      <c r="R313" s="2"/>
      <c r="S313" s="2"/>
      <c r="T313" s="2"/>
      <c r="U313" s="2"/>
      <c r="V313" s="2"/>
      <c r="W313" s="2"/>
      <c r="X313" s="2"/>
    </row>
    <row r="314" spans="1:24" ht="31.5" x14ac:dyDescent="0.2">
      <c r="A314" s="16" t="str">
        <f>$C$4&amp;"-"&amp;TEXT(COUNTA($E$15:E314),"00")</f>
        <v>TC-285</v>
      </c>
      <c r="B314" s="36" t="s">
        <v>997</v>
      </c>
      <c r="C314" s="5" t="s">
        <v>983</v>
      </c>
      <c r="D314" s="5" t="s">
        <v>998</v>
      </c>
      <c r="E314" s="5" t="s">
        <v>999</v>
      </c>
      <c r="F314" s="1" t="s">
        <v>24</v>
      </c>
      <c r="G314" s="5"/>
      <c r="H314" s="2"/>
      <c r="I314" s="2"/>
      <c r="J314" s="2"/>
      <c r="K314" s="2"/>
      <c r="L314" s="2"/>
      <c r="M314" s="2"/>
      <c r="N314" s="2"/>
      <c r="O314" s="2"/>
      <c r="P314" s="2"/>
      <c r="Q314" s="2"/>
      <c r="R314" s="2"/>
      <c r="S314" s="2"/>
      <c r="T314" s="2"/>
      <c r="U314" s="2"/>
      <c r="V314" s="2"/>
      <c r="W314" s="2"/>
      <c r="X314" s="2"/>
    </row>
    <row r="315" spans="1:24" ht="31.5" x14ac:dyDescent="0.2">
      <c r="A315" s="16" t="str">
        <f>$C$4&amp;"-"&amp;TEXT(COUNTA($E$15:E315),"00")</f>
        <v>TC-286</v>
      </c>
      <c r="B315" s="31"/>
      <c r="C315" s="5" t="s">
        <v>1000</v>
      </c>
      <c r="D315" s="5" t="s">
        <v>1001</v>
      </c>
      <c r="E315" s="5" t="s">
        <v>1002</v>
      </c>
      <c r="F315" s="1" t="s">
        <v>24</v>
      </c>
      <c r="G315" s="5"/>
      <c r="H315" s="2"/>
      <c r="I315" s="2"/>
      <c r="J315" s="2"/>
      <c r="K315" s="2"/>
      <c r="L315" s="2"/>
      <c r="M315" s="2"/>
      <c r="N315" s="2"/>
      <c r="O315" s="2"/>
      <c r="P315" s="2"/>
      <c r="Q315" s="2"/>
      <c r="R315" s="2"/>
      <c r="S315" s="2"/>
      <c r="T315" s="2"/>
      <c r="U315" s="2"/>
      <c r="V315" s="2"/>
      <c r="W315" s="2"/>
      <c r="X315" s="2"/>
    </row>
    <row r="316" spans="1:24" ht="47.25" x14ac:dyDescent="0.2">
      <c r="A316" s="16" t="str">
        <f>$C$4&amp;"-"&amp;TEXT(COUNTA($E$15:E316),"00")</f>
        <v>TC-287</v>
      </c>
      <c r="B316" s="31"/>
      <c r="C316" s="5" t="s">
        <v>1003</v>
      </c>
      <c r="D316" s="5" t="s">
        <v>1004</v>
      </c>
      <c r="E316" s="5" t="s">
        <v>1005</v>
      </c>
      <c r="F316" s="1" t="s">
        <v>24</v>
      </c>
      <c r="G316" s="5"/>
      <c r="H316" s="2"/>
      <c r="I316" s="2"/>
      <c r="J316" s="2"/>
      <c r="K316" s="2"/>
      <c r="L316" s="2"/>
      <c r="M316" s="2"/>
      <c r="N316" s="2"/>
      <c r="O316" s="2"/>
      <c r="P316" s="2"/>
      <c r="Q316" s="2"/>
      <c r="R316" s="2"/>
      <c r="S316" s="2"/>
      <c r="T316" s="2"/>
      <c r="U316" s="2"/>
      <c r="V316" s="2"/>
      <c r="W316" s="2"/>
      <c r="X316" s="2"/>
    </row>
    <row r="317" spans="1:24" ht="47.25" x14ac:dyDescent="0.2">
      <c r="A317" s="16" t="str">
        <f>$C$4&amp;"-"&amp;TEXT(COUNTA($E$15:E317),"00")</f>
        <v>TC-288</v>
      </c>
      <c r="B317" s="31"/>
      <c r="C317" s="5" t="s">
        <v>1006</v>
      </c>
      <c r="D317" s="5" t="s">
        <v>1007</v>
      </c>
      <c r="E317" s="5" t="s">
        <v>1008</v>
      </c>
      <c r="F317" s="1" t="s">
        <v>24</v>
      </c>
      <c r="G317" s="5"/>
      <c r="H317" s="2"/>
      <c r="I317" s="2"/>
      <c r="J317" s="2"/>
      <c r="K317" s="2"/>
      <c r="L317" s="2"/>
      <c r="M317" s="2"/>
      <c r="N317" s="2"/>
      <c r="O317" s="2"/>
      <c r="P317" s="2"/>
      <c r="Q317" s="2"/>
      <c r="R317" s="2"/>
      <c r="S317" s="2"/>
      <c r="T317" s="2"/>
      <c r="U317" s="2"/>
      <c r="V317" s="2"/>
      <c r="W317" s="2"/>
      <c r="X317" s="2"/>
    </row>
    <row r="318" spans="1:24" ht="31.5" x14ac:dyDescent="0.2">
      <c r="A318" s="16" t="str">
        <f>$C$4&amp;"-"&amp;TEXT(COUNTA($E$15:E318),"00")</f>
        <v>TC-289</v>
      </c>
      <c r="B318" s="32"/>
      <c r="C318" s="5" t="s">
        <v>1009</v>
      </c>
      <c r="D318" s="5" t="s">
        <v>1010</v>
      </c>
      <c r="E318" s="5" t="s">
        <v>1011</v>
      </c>
      <c r="F318" s="1" t="s">
        <v>24</v>
      </c>
      <c r="G318" s="5"/>
      <c r="H318" s="2"/>
      <c r="I318" s="2"/>
      <c r="J318" s="2"/>
      <c r="K318" s="2"/>
      <c r="L318" s="2"/>
      <c r="M318" s="2"/>
      <c r="N318" s="2"/>
      <c r="O318" s="2"/>
      <c r="P318" s="2"/>
      <c r="Q318" s="2"/>
      <c r="R318" s="2"/>
      <c r="S318" s="2"/>
      <c r="T318" s="2"/>
      <c r="U318" s="2"/>
      <c r="V318" s="2"/>
      <c r="W318" s="2"/>
      <c r="X318" s="2"/>
    </row>
    <row r="319" spans="1:24" ht="31.5" x14ac:dyDescent="0.2">
      <c r="A319" s="16" t="str">
        <f>$C$4&amp;"-"&amp;TEXT(COUNTA($E$15:E319),"00")</f>
        <v>TC-290</v>
      </c>
      <c r="B319" s="36" t="s">
        <v>1012</v>
      </c>
      <c r="C319" s="5" t="s">
        <v>1013</v>
      </c>
      <c r="D319" s="5" t="s">
        <v>1014</v>
      </c>
      <c r="E319" s="5" t="s">
        <v>1015</v>
      </c>
      <c r="F319" s="1" t="s">
        <v>24</v>
      </c>
      <c r="G319" s="5"/>
      <c r="H319" s="2"/>
      <c r="I319" s="2"/>
      <c r="J319" s="2"/>
      <c r="K319" s="2"/>
      <c r="L319" s="2"/>
      <c r="M319" s="2"/>
      <c r="N319" s="2"/>
      <c r="O319" s="2"/>
      <c r="P319" s="2"/>
      <c r="Q319" s="2"/>
      <c r="R319" s="2"/>
      <c r="S319" s="2"/>
      <c r="T319" s="2"/>
      <c r="U319" s="2"/>
      <c r="V319" s="2"/>
      <c r="W319" s="2"/>
      <c r="X319" s="2"/>
    </row>
    <row r="320" spans="1:24" ht="78.75" x14ac:dyDescent="0.2">
      <c r="A320" s="16" t="str">
        <f>$C$4&amp;"-"&amp;TEXT(COUNTA($E$15:E320),"00")</f>
        <v>TC-291</v>
      </c>
      <c r="B320" s="31"/>
      <c r="C320" s="5" t="s">
        <v>1016</v>
      </c>
      <c r="D320" s="5" t="s">
        <v>1017</v>
      </c>
      <c r="E320" s="7" t="s">
        <v>1018</v>
      </c>
      <c r="F320" s="1" t="s">
        <v>24</v>
      </c>
      <c r="G320" s="5"/>
      <c r="H320" s="2"/>
      <c r="I320" s="2"/>
      <c r="J320" s="2"/>
      <c r="K320" s="2"/>
      <c r="L320" s="2"/>
      <c r="M320" s="2"/>
      <c r="N320" s="2"/>
      <c r="O320" s="2"/>
      <c r="P320" s="2"/>
      <c r="Q320" s="2"/>
      <c r="R320" s="2"/>
      <c r="S320" s="2"/>
      <c r="T320" s="2"/>
      <c r="U320" s="2"/>
      <c r="V320" s="2"/>
      <c r="W320" s="2"/>
      <c r="X320" s="2"/>
    </row>
    <row r="321" spans="1:24" ht="47.25" x14ac:dyDescent="0.2">
      <c r="A321" s="16" t="str">
        <f>$C$4&amp;"-"&amp;TEXT(COUNTA($E$15:E321),"00")</f>
        <v>TC-292</v>
      </c>
      <c r="B321" s="31"/>
      <c r="C321" s="5" t="s">
        <v>1019</v>
      </c>
      <c r="D321" s="5" t="s">
        <v>1020</v>
      </c>
      <c r="E321" s="7" t="s">
        <v>1021</v>
      </c>
      <c r="F321" s="1" t="s">
        <v>24</v>
      </c>
      <c r="G321" s="5"/>
      <c r="H321" s="2"/>
      <c r="I321" s="2"/>
      <c r="J321" s="2"/>
      <c r="K321" s="2"/>
      <c r="L321" s="2"/>
      <c r="M321" s="2"/>
      <c r="N321" s="2"/>
      <c r="O321" s="2"/>
      <c r="P321" s="2"/>
      <c r="Q321" s="2"/>
      <c r="R321" s="2"/>
      <c r="S321" s="2"/>
      <c r="T321" s="2"/>
      <c r="U321" s="2"/>
      <c r="V321" s="2"/>
      <c r="W321" s="2"/>
      <c r="X321" s="2"/>
    </row>
    <row r="322" spans="1:24" ht="63" x14ac:dyDescent="0.2">
      <c r="A322" s="16" t="str">
        <f>$C$4&amp;"-"&amp;TEXT(COUNTA($E$15:E322),"00")</f>
        <v>TC-293</v>
      </c>
      <c r="B322" s="32"/>
      <c r="C322" s="5" t="s">
        <v>1022</v>
      </c>
      <c r="D322" s="5" t="s">
        <v>1023</v>
      </c>
      <c r="E322" s="5" t="s">
        <v>1024</v>
      </c>
      <c r="F322" s="1" t="s">
        <v>111</v>
      </c>
      <c r="G322" s="5"/>
      <c r="H322" s="2"/>
      <c r="I322" s="2"/>
      <c r="J322" s="2"/>
      <c r="K322" s="2"/>
      <c r="L322" s="2"/>
      <c r="M322" s="2"/>
      <c r="N322" s="2"/>
      <c r="O322" s="2"/>
      <c r="P322" s="2"/>
      <c r="Q322" s="2"/>
      <c r="R322" s="2"/>
      <c r="S322" s="2"/>
      <c r="T322" s="2"/>
      <c r="U322" s="2"/>
      <c r="V322" s="2"/>
      <c r="W322" s="2"/>
      <c r="X322" s="2"/>
    </row>
    <row r="323" spans="1:24" ht="47.25" x14ac:dyDescent="0.2">
      <c r="A323" s="16" t="str">
        <f>$C$4&amp;"-"&amp;TEXT(COUNTA($E$15:E323),"00")</f>
        <v>TC-294</v>
      </c>
      <c r="B323" s="36" t="s">
        <v>1025</v>
      </c>
      <c r="C323" s="5" t="s">
        <v>1026</v>
      </c>
      <c r="D323" s="5" t="s">
        <v>1027</v>
      </c>
      <c r="E323" s="5" t="s">
        <v>1028</v>
      </c>
      <c r="F323" s="1" t="s">
        <v>24</v>
      </c>
      <c r="G323" s="5"/>
      <c r="H323" s="2"/>
      <c r="I323" s="2"/>
      <c r="J323" s="2"/>
      <c r="K323" s="2"/>
      <c r="L323" s="2"/>
      <c r="M323" s="2"/>
      <c r="N323" s="2"/>
      <c r="O323" s="2"/>
      <c r="P323" s="2"/>
      <c r="Q323" s="2"/>
      <c r="R323" s="2"/>
      <c r="S323" s="2"/>
      <c r="T323" s="2"/>
      <c r="U323" s="2"/>
      <c r="V323" s="2"/>
      <c r="W323" s="2"/>
      <c r="X323" s="2"/>
    </row>
    <row r="324" spans="1:24" ht="31.5" x14ac:dyDescent="0.2">
      <c r="A324" s="16" t="str">
        <f>$C$4&amp;"-"&amp;TEXT(COUNTA($E$15:E324),"00")</f>
        <v>TC-295</v>
      </c>
      <c r="B324" s="31"/>
      <c r="C324" s="5" t="s">
        <v>1013</v>
      </c>
      <c r="D324" s="5" t="s">
        <v>1029</v>
      </c>
      <c r="E324" s="5" t="s">
        <v>1030</v>
      </c>
      <c r="F324" s="1" t="s">
        <v>24</v>
      </c>
      <c r="G324" s="5"/>
      <c r="H324" s="2"/>
      <c r="I324" s="2"/>
      <c r="J324" s="2"/>
      <c r="K324" s="2"/>
      <c r="L324" s="2"/>
      <c r="M324" s="2"/>
      <c r="N324" s="2"/>
      <c r="O324" s="2"/>
      <c r="P324" s="2"/>
      <c r="Q324" s="2"/>
      <c r="R324" s="2"/>
      <c r="S324" s="2"/>
      <c r="T324" s="2"/>
      <c r="U324" s="2"/>
      <c r="V324" s="2"/>
      <c r="W324" s="2"/>
      <c r="X324" s="2"/>
    </row>
    <row r="325" spans="1:24" ht="63" x14ac:dyDescent="0.2">
      <c r="A325" s="16" t="str">
        <f>$C$4&amp;"-"&amp;TEXT(COUNTA($E$15:E325),"00")</f>
        <v>TC-296</v>
      </c>
      <c r="B325" s="32"/>
      <c r="C325" s="5" t="s">
        <v>1031</v>
      </c>
      <c r="D325" s="5" t="s">
        <v>1032</v>
      </c>
      <c r="E325" s="5" t="s">
        <v>1033</v>
      </c>
      <c r="F325" s="1" t="s">
        <v>111</v>
      </c>
      <c r="G325" s="5"/>
      <c r="H325" s="2"/>
      <c r="I325" s="2"/>
      <c r="J325" s="2"/>
      <c r="K325" s="2"/>
      <c r="L325" s="2"/>
      <c r="M325" s="2"/>
      <c r="N325" s="2"/>
      <c r="O325" s="2"/>
      <c r="P325" s="2"/>
      <c r="Q325" s="2"/>
      <c r="R325" s="2"/>
      <c r="S325" s="2"/>
      <c r="T325" s="2"/>
      <c r="U325" s="2"/>
      <c r="V325" s="2"/>
      <c r="W325" s="2"/>
      <c r="X325" s="2"/>
    </row>
    <row r="326" spans="1:24" ht="31.5" x14ac:dyDescent="0.2">
      <c r="A326" s="16" t="str">
        <f>$C$4&amp;"-"&amp;TEXT(COUNTA($E$15:E326),"00")</f>
        <v>TC-297</v>
      </c>
      <c r="B326" s="36" t="s">
        <v>1034</v>
      </c>
      <c r="C326" s="5" t="s">
        <v>951</v>
      </c>
      <c r="D326" s="5" t="s">
        <v>1035</v>
      </c>
      <c r="E326" s="5" t="s">
        <v>1036</v>
      </c>
      <c r="F326" s="1" t="s">
        <v>111</v>
      </c>
      <c r="G326" s="5"/>
      <c r="H326" s="2"/>
      <c r="I326" s="2"/>
      <c r="J326" s="2"/>
      <c r="K326" s="2"/>
      <c r="L326" s="2"/>
      <c r="M326" s="2"/>
      <c r="N326" s="2"/>
      <c r="O326" s="2"/>
      <c r="P326" s="2"/>
      <c r="Q326" s="2"/>
      <c r="R326" s="2"/>
      <c r="S326" s="2"/>
      <c r="T326" s="2"/>
      <c r="U326" s="2"/>
      <c r="V326" s="2"/>
      <c r="W326" s="2"/>
      <c r="X326" s="2"/>
    </row>
    <row r="327" spans="1:24" ht="31.5" x14ac:dyDescent="0.2">
      <c r="A327" s="16" t="str">
        <f>$C$4&amp;"-"&amp;TEXT(COUNTA($E$15:E327),"00")</f>
        <v>TC-298</v>
      </c>
      <c r="B327" s="31"/>
      <c r="C327" s="5" t="s">
        <v>1037</v>
      </c>
      <c r="D327" s="5" t="s">
        <v>1038</v>
      </c>
      <c r="E327" s="5" t="s">
        <v>1039</v>
      </c>
      <c r="F327" s="1" t="s">
        <v>111</v>
      </c>
      <c r="G327" s="5"/>
      <c r="H327" s="2"/>
      <c r="I327" s="2"/>
      <c r="J327" s="2"/>
      <c r="K327" s="2"/>
      <c r="L327" s="2"/>
      <c r="M327" s="2"/>
      <c r="N327" s="2"/>
      <c r="O327" s="2"/>
      <c r="P327" s="2"/>
      <c r="Q327" s="2"/>
      <c r="R327" s="2"/>
      <c r="S327" s="2"/>
      <c r="T327" s="2"/>
      <c r="U327" s="2"/>
      <c r="V327" s="2"/>
      <c r="W327" s="2"/>
      <c r="X327" s="2"/>
    </row>
    <row r="328" spans="1:24" ht="47.25" x14ac:dyDescent="0.2">
      <c r="A328" s="16" t="str">
        <f>$C$4&amp;"-"&amp;TEXT(COUNTA($E$15:E328),"00")</f>
        <v>TC-299</v>
      </c>
      <c r="B328" s="31"/>
      <c r="C328" s="5" t="s">
        <v>1040</v>
      </c>
      <c r="D328" s="5" t="s">
        <v>1041</v>
      </c>
      <c r="E328" s="5" t="s">
        <v>907</v>
      </c>
      <c r="F328" s="1" t="s">
        <v>24</v>
      </c>
      <c r="G328" s="5"/>
      <c r="H328" s="2"/>
      <c r="I328" s="2"/>
      <c r="J328" s="2"/>
      <c r="K328" s="2"/>
      <c r="L328" s="2"/>
      <c r="M328" s="2"/>
      <c r="N328" s="2"/>
      <c r="O328" s="2"/>
      <c r="P328" s="2"/>
      <c r="Q328" s="2"/>
      <c r="R328" s="2"/>
      <c r="S328" s="2"/>
      <c r="T328" s="2"/>
      <c r="U328" s="2"/>
      <c r="V328" s="2"/>
      <c r="W328" s="2"/>
      <c r="X328" s="2"/>
    </row>
    <row r="329" spans="1:24" ht="47.25" x14ac:dyDescent="0.2">
      <c r="A329" s="16" t="str">
        <f>$C$4&amp;"-"&amp;TEXT(COUNTA($E$15:E329),"00")</f>
        <v>TC-300</v>
      </c>
      <c r="B329" s="31"/>
      <c r="C329" s="5" t="s">
        <v>1042</v>
      </c>
      <c r="D329" s="5" t="s">
        <v>1043</v>
      </c>
      <c r="E329" s="5" t="s">
        <v>1044</v>
      </c>
      <c r="F329" s="1" t="s">
        <v>24</v>
      </c>
      <c r="G329" s="5"/>
      <c r="H329" s="2"/>
      <c r="I329" s="2"/>
      <c r="J329" s="2"/>
      <c r="K329" s="2"/>
      <c r="L329" s="2"/>
      <c r="M329" s="2"/>
      <c r="N329" s="2"/>
      <c r="O329" s="2"/>
      <c r="P329" s="2"/>
      <c r="Q329" s="2"/>
      <c r="R329" s="2"/>
      <c r="S329" s="2"/>
      <c r="T329" s="2"/>
      <c r="U329" s="2"/>
      <c r="V329" s="2"/>
      <c r="W329" s="2"/>
      <c r="X329" s="2"/>
    </row>
    <row r="330" spans="1:24" ht="47.25" x14ac:dyDescent="0.2">
      <c r="A330" s="16" t="str">
        <f>$C$4&amp;"-"&amp;TEXT(COUNTA($E$15:E330),"00")</f>
        <v>TC-301</v>
      </c>
      <c r="B330" s="31"/>
      <c r="C330" s="5" t="s">
        <v>1045</v>
      </c>
      <c r="D330" s="5" t="s">
        <v>1046</v>
      </c>
      <c r="E330" s="5" t="s">
        <v>1047</v>
      </c>
      <c r="F330" s="1" t="s">
        <v>24</v>
      </c>
      <c r="G330" s="5"/>
      <c r="H330" s="2"/>
      <c r="I330" s="2"/>
      <c r="J330" s="2"/>
      <c r="K330" s="2"/>
      <c r="L330" s="2"/>
      <c r="M330" s="2"/>
      <c r="N330" s="2"/>
      <c r="O330" s="2"/>
      <c r="P330" s="2"/>
      <c r="Q330" s="2"/>
      <c r="R330" s="2"/>
      <c r="S330" s="2"/>
      <c r="T330" s="2"/>
      <c r="U330" s="2"/>
      <c r="V330" s="2"/>
      <c r="W330" s="2"/>
      <c r="X330" s="2"/>
    </row>
    <row r="331" spans="1:24" ht="63" x14ac:dyDescent="0.2">
      <c r="A331" s="16" t="str">
        <f>$C$4&amp;"-"&amp;TEXT(COUNTA($E$15:E331),"00")</f>
        <v>TC-302</v>
      </c>
      <c r="B331" s="32"/>
      <c r="C331" s="5" t="s">
        <v>1048</v>
      </c>
      <c r="D331" s="5" t="s">
        <v>1049</v>
      </c>
      <c r="E331" s="5" t="s">
        <v>1050</v>
      </c>
      <c r="F331" s="1" t="s">
        <v>24</v>
      </c>
      <c r="G331" s="5"/>
      <c r="H331" s="2"/>
      <c r="I331" s="2"/>
      <c r="J331" s="2"/>
      <c r="K331" s="2"/>
      <c r="L331" s="2"/>
      <c r="M331" s="2"/>
      <c r="N331" s="2"/>
      <c r="O331" s="2"/>
      <c r="P331" s="2"/>
      <c r="Q331" s="2"/>
      <c r="R331" s="2"/>
      <c r="S331" s="2"/>
      <c r="T331" s="2"/>
      <c r="U331" s="2"/>
      <c r="V331" s="2"/>
      <c r="W331" s="2"/>
      <c r="X331" s="2"/>
    </row>
    <row r="332" spans="1:24" ht="31.5" x14ac:dyDescent="0.2">
      <c r="A332" s="16" t="str">
        <f>$C$4&amp;"-"&amp;TEXT(COUNTA($E$15:E332),"00")</f>
        <v>TC-303</v>
      </c>
      <c r="B332" s="36" t="s">
        <v>1051</v>
      </c>
      <c r="C332" s="5" t="s">
        <v>951</v>
      </c>
      <c r="D332" s="5" t="s">
        <v>1052</v>
      </c>
      <c r="E332" s="5" t="s">
        <v>1053</v>
      </c>
      <c r="F332" s="1" t="s">
        <v>24</v>
      </c>
      <c r="G332" s="5"/>
      <c r="H332" s="2"/>
      <c r="I332" s="2"/>
      <c r="J332" s="2"/>
      <c r="K332" s="2"/>
      <c r="L332" s="2"/>
      <c r="M332" s="2"/>
      <c r="N332" s="2"/>
      <c r="O332" s="2"/>
      <c r="P332" s="2"/>
      <c r="Q332" s="2"/>
      <c r="R332" s="2"/>
      <c r="S332" s="2"/>
      <c r="T332" s="2"/>
      <c r="U332" s="2"/>
      <c r="V332" s="2"/>
      <c r="W332" s="2"/>
      <c r="X332" s="2"/>
    </row>
    <row r="333" spans="1:24" ht="47.25" x14ac:dyDescent="0.2">
      <c r="A333" s="16" t="str">
        <f>$C$4&amp;"-"&amp;TEXT(COUNTA($E$15:E333),"00")</f>
        <v>TC-304</v>
      </c>
      <c r="B333" s="31"/>
      <c r="C333" s="5" t="s">
        <v>1040</v>
      </c>
      <c r="D333" s="5" t="s">
        <v>1054</v>
      </c>
      <c r="E333" s="5" t="s">
        <v>907</v>
      </c>
      <c r="F333" s="1" t="s">
        <v>24</v>
      </c>
      <c r="G333" s="5"/>
      <c r="H333" s="2"/>
      <c r="I333" s="2"/>
      <c r="J333" s="2"/>
      <c r="K333" s="2"/>
      <c r="L333" s="2"/>
      <c r="M333" s="2"/>
      <c r="N333" s="2"/>
      <c r="O333" s="2"/>
      <c r="P333" s="2"/>
      <c r="Q333" s="2"/>
      <c r="R333" s="2"/>
      <c r="S333" s="2"/>
      <c r="T333" s="2"/>
      <c r="U333" s="2"/>
      <c r="V333" s="2"/>
      <c r="W333" s="2"/>
      <c r="X333" s="2"/>
    </row>
    <row r="334" spans="1:24" ht="47.25" x14ac:dyDescent="0.2">
      <c r="A334" s="16" t="str">
        <f>$C$4&amp;"-"&amp;TEXT(COUNTA($E$15:E334),"00")</f>
        <v>TC-305</v>
      </c>
      <c r="B334" s="31"/>
      <c r="C334" s="5" t="s">
        <v>1055</v>
      </c>
      <c r="D334" s="5" t="s">
        <v>1056</v>
      </c>
      <c r="E334" s="5" t="s">
        <v>1057</v>
      </c>
      <c r="F334" s="1" t="s">
        <v>24</v>
      </c>
      <c r="G334" s="5"/>
      <c r="H334" s="2"/>
      <c r="I334" s="2"/>
      <c r="J334" s="2"/>
      <c r="K334" s="2"/>
      <c r="L334" s="2"/>
      <c r="M334" s="2"/>
      <c r="N334" s="2"/>
      <c r="O334" s="2"/>
      <c r="P334" s="2"/>
      <c r="Q334" s="2"/>
      <c r="R334" s="2"/>
      <c r="S334" s="2"/>
      <c r="T334" s="2"/>
      <c r="U334" s="2"/>
      <c r="V334" s="2"/>
      <c r="W334" s="2"/>
      <c r="X334" s="2"/>
    </row>
    <row r="335" spans="1:24" ht="47.25" x14ac:dyDescent="0.2">
      <c r="A335" s="16" t="str">
        <f>$C$4&amp;"-"&amp;TEXT(COUNTA($E$15:E335),"00")</f>
        <v>TC-306</v>
      </c>
      <c r="B335" s="31"/>
      <c r="C335" s="5" t="s">
        <v>1058</v>
      </c>
      <c r="D335" s="5" t="s">
        <v>1059</v>
      </c>
      <c r="E335" s="5" t="s">
        <v>1060</v>
      </c>
      <c r="F335" s="1" t="s">
        <v>24</v>
      </c>
      <c r="G335" s="5"/>
      <c r="H335" s="2"/>
      <c r="I335" s="2"/>
      <c r="J335" s="2"/>
      <c r="K335" s="2"/>
      <c r="L335" s="2"/>
      <c r="M335" s="2"/>
      <c r="N335" s="2"/>
      <c r="O335" s="2"/>
      <c r="P335" s="2"/>
      <c r="Q335" s="2"/>
      <c r="R335" s="2"/>
      <c r="S335" s="2"/>
      <c r="T335" s="2"/>
      <c r="U335" s="2"/>
      <c r="V335" s="2"/>
      <c r="W335" s="2"/>
      <c r="X335" s="2"/>
    </row>
    <row r="336" spans="1:24" ht="47.25" x14ac:dyDescent="0.2">
      <c r="A336" s="16" t="str">
        <f>$C$4&amp;"-"&amp;TEXT(COUNTA($E$15:E336),"00")</f>
        <v>TC-307</v>
      </c>
      <c r="B336" s="31"/>
      <c r="C336" s="5" t="s">
        <v>1061</v>
      </c>
      <c r="D336" s="5" t="s">
        <v>1062</v>
      </c>
      <c r="E336" s="5" t="s">
        <v>1050</v>
      </c>
      <c r="F336" s="1" t="s">
        <v>24</v>
      </c>
      <c r="G336" s="5"/>
      <c r="H336" s="2"/>
      <c r="I336" s="2"/>
      <c r="J336" s="2"/>
      <c r="K336" s="2"/>
      <c r="L336" s="2"/>
      <c r="M336" s="2"/>
      <c r="N336" s="2"/>
      <c r="O336" s="2"/>
      <c r="P336" s="2"/>
      <c r="Q336" s="2"/>
      <c r="R336" s="2"/>
      <c r="S336" s="2"/>
      <c r="T336" s="2"/>
      <c r="U336" s="2"/>
      <c r="V336" s="2"/>
      <c r="W336" s="2"/>
      <c r="X336" s="2"/>
    </row>
    <row r="337" spans="1:24" ht="31.5" x14ac:dyDescent="0.2">
      <c r="A337" s="16" t="str">
        <f>$C$4&amp;"-"&amp;TEXT(COUNTA($E$15:E337),"00")</f>
        <v>TC-308</v>
      </c>
      <c r="B337" s="32"/>
      <c r="C337" s="5" t="s">
        <v>1063</v>
      </c>
      <c r="D337" s="5" t="s">
        <v>1064</v>
      </c>
      <c r="E337" s="5" t="s">
        <v>1065</v>
      </c>
      <c r="F337" s="1" t="s">
        <v>24</v>
      </c>
      <c r="G337" s="5"/>
      <c r="H337" s="2"/>
      <c r="I337" s="2"/>
      <c r="J337" s="2"/>
      <c r="K337" s="2"/>
      <c r="L337" s="2"/>
      <c r="M337" s="2"/>
      <c r="N337" s="2"/>
      <c r="O337" s="2"/>
      <c r="P337" s="2"/>
      <c r="Q337" s="2"/>
      <c r="R337" s="2"/>
      <c r="S337" s="2"/>
      <c r="T337" s="2"/>
      <c r="U337" s="2"/>
      <c r="V337" s="2"/>
      <c r="W337" s="2"/>
      <c r="X337" s="2"/>
    </row>
    <row r="338" spans="1:24" ht="47.25" x14ac:dyDescent="0.2">
      <c r="A338" s="16" t="str">
        <f>$C$4&amp;"-"&amp;TEXT(COUNTA($E$15:E338),"00")</f>
        <v>TC-309</v>
      </c>
      <c r="B338" s="36" t="s">
        <v>1066</v>
      </c>
      <c r="C338" s="5" t="s">
        <v>836</v>
      </c>
      <c r="D338" s="5" t="s">
        <v>1067</v>
      </c>
      <c r="E338" s="5" t="s">
        <v>1068</v>
      </c>
      <c r="F338" s="1" t="s">
        <v>24</v>
      </c>
      <c r="G338" s="5"/>
      <c r="H338" s="2"/>
      <c r="I338" s="2"/>
      <c r="J338" s="2"/>
      <c r="K338" s="2"/>
      <c r="L338" s="2"/>
      <c r="M338" s="2"/>
      <c r="N338" s="2"/>
      <c r="O338" s="2"/>
      <c r="P338" s="2"/>
      <c r="Q338" s="2"/>
      <c r="R338" s="2"/>
      <c r="S338" s="2"/>
      <c r="T338" s="2"/>
      <c r="U338" s="2"/>
      <c r="V338" s="2"/>
      <c r="W338" s="2"/>
      <c r="X338" s="2"/>
    </row>
    <row r="339" spans="1:24" ht="31.5" x14ac:dyDescent="0.2">
      <c r="A339" s="16" t="str">
        <f>$C$4&amp;"-"&amp;TEXT(COUNTA($E$15:E339),"00")</f>
        <v>TC-310</v>
      </c>
      <c r="B339" s="31"/>
      <c r="C339" s="5" t="s">
        <v>908</v>
      </c>
      <c r="D339" s="5" t="s">
        <v>909</v>
      </c>
      <c r="E339" s="5" t="s">
        <v>1069</v>
      </c>
      <c r="F339" s="1" t="s">
        <v>24</v>
      </c>
      <c r="G339" s="5"/>
      <c r="H339" s="2"/>
      <c r="I339" s="2"/>
      <c r="J339" s="2"/>
      <c r="K339" s="2"/>
      <c r="L339" s="2"/>
      <c r="M339" s="2"/>
      <c r="N339" s="2"/>
      <c r="O339" s="2"/>
      <c r="P339" s="2"/>
      <c r="Q339" s="2"/>
      <c r="R339" s="2"/>
      <c r="S339" s="2"/>
      <c r="T339" s="2"/>
      <c r="U339" s="2"/>
      <c r="V339" s="2"/>
      <c r="W339" s="2"/>
      <c r="X339" s="2"/>
    </row>
    <row r="340" spans="1:24" ht="31.5" x14ac:dyDescent="0.2">
      <c r="A340" s="16" t="str">
        <f>$C$4&amp;"-"&amp;TEXT(COUNTA($E$15:E340),"00")</f>
        <v>TC-311</v>
      </c>
      <c r="B340" s="31"/>
      <c r="C340" s="5" t="s">
        <v>911</v>
      </c>
      <c r="D340" s="5" t="s">
        <v>1070</v>
      </c>
      <c r="E340" s="5" t="s">
        <v>1071</v>
      </c>
      <c r="F340" s="1" t="s">
        <v>24</v>
      </c>
      <c r="G340" s="5"/>
      <c r="H340" s="2"/>
      <c r="I340" s="2"/>
      <c r="J340" s="2"/>
      <c r="K340" s="2"/>
      <c r="L340" s="2"/>
      <c r="M340" s="2"/>
      <c r="N340" s="2"/>
      <c r="O340" s="2"/>
      <c r="P340" s="2"/>
      <c r="Q340" s="2"/>
      <c r="R340" s="2"/>
      <c r="S340" s="2"/>
      <c r="T340" s="2"/>
      <c r="U340" s="2"/>
      <c r="V340" s="2"/>
      <c r="W340" s="2"/>
      <c r="X340" s="2"/>
    </row>
    <row r="341" spans="1:24" x14ac:dyDescent="0.2">
      <c r="A341" s="16" t="str">
        <f>$C$4&amp;"-"&amp;TEXT(COUNTA($E$15:E341),"00")</f>
        <v>TC-312</v>
      </c>
      <c r="B341" s="32"/>
      <c r="C341" s="5" t="s">
        <v>1072</v>
      </c>
      <c r="D341" s="5" t="s">
        <v>1073</v>
      </c>
      <c r="E341" s="5" t="s">
        <v>922</v>
      </c>
      <c r="F341" s="1" t="s">
        <v>24</v>
      </c>
      <c r="G341" s="5"/>
      <c r="H341" s="2"/>
      <c r="I341" s="2"/>
      <c r="J341" s="2"/>
      <c r="K341" s="2"/>
      <c r="L341" s="2"/>
      <c r="M341" s="2"/>
      <c r="N341" s="2"/>
      <c r="O341" s="2"/>
      <c r="P341" s="2"/>
      <c r="Q341" s="2"/>
      <c r="R341" s="2"/>
      <c r="S341" s="2"/>
      <c r="T341" s="2"/>
      <c r="U341" s="2"/>
      <c r="V341" s="2"/>
      <c r="W341" s="2"/>
      <c r="X341" s="2"/>
    </row>
    <row r="342" spans="1:24" ht="47.25" x14ac:dyDescent="0.2">
      <c r="A342" s="16" t="str">
        <f>$C$4&amp;"-"&amp;TEXT(COUNTA($E$15:E342),"00")</f>
        <v>TC-313</v>
      </c>
      <c r="B342" s="36" t="s">
        <v>1074</v>
      </c>
      <c r="C342" s="5" t="s">
        <v>1075</v>
      </c>
      <c r="D342" s="5" t="s">
        <v>1076</v>
      </c>
      <c r="E342" s="5" t="s">
        <v>1077</v>
      </c>
      <c r="F342" s="1" t="s">
        <v>24</v>
      </c>
      <c r="G342" s="7" t="s">
        <v>1078</v>
      </c>
      <c r="H342" s="2"/>
      <c r="I342" s="2"/>
      <c r="J342" s="2"/>
      <c r="K342" s="2"/>
      <c r="L342" s="2"/>
      <c r="M342" s="2"/>
      <c r="N342" s="2"/>
      <c r="O342" s="2"/>
      <c r="P342" s="2"/>
      <c r="Q342" s="2"/>
      <c r="R342" s="2"/>
      <c r="S342" s="2"/>
      <c r="T342" s="2"/>
      <c r="U342" s="2"/>
      <c r="V342" s="2"/>
      <c r="W342" s="2"/>
      <c r="X342" s="2"/>
    </row>
    <row r="343" spans="1:24" ht="47.25" x14ac:dyDescent="0.2">
      <c r="A343" s="16" t="str">
        <f>$C$4&amp;"-"&amp;TEXT(COUNTA($E$15:E343),"00")</f>
        <v>TC-314</v>
      </c>
      <c r="B343" s="31"/>
      <c r="C343" s="5" t="s">
        <v>1079</v>
      </c>
      <c r="D343" s="5" t="s">
        <v>1080</v>
      </c>
      <c r="E343" s="5" t="s">
        <v>1081</v>
      </c>
      <c r="F343" s="1" t="s">
        <v>24</v>
      </c>
      <c r="G343" s="5"/>
      <c r="H343" s="2"/>
      <c r="I343" s="2"/>
      <c r="J343" s="2"/>
      <c r="K343" s="2"/>
      <c r="L343" s="2"/>
      <c r="M343" s="2"/>
      <c r="N343" s="2"/>
      <c r="O343" s="2"/>
      <c r="P343" s="2"/>
      <c r="Q343" s="2"/>
      <c r="R343" s="2"/>
      <c r="S343" s="2"/>
      <c r="T343" s="2"/>
      <c r="U343" s="2"/>
      <c r="V343" s="2"/>
      <c r="W343" s="2"/>
      <c r="X343" s="2"/>
    </row>
    <row r="344" spans="1:24" ht="31.5" x14ac:dyDescent="0.2">
      <c r="A344" s="16" t="str">
        <f>$C$4&amp;"-"&amp;TEXT(COUNTA($E$15:E344),"00")</f>
        <v>TC-315</v>
      </c>
      <c r="B344" s="31"/>
      <c r="C344" s="5" t="s">
        <v>1082</v>
      </c>
      <c r="D344" s="5" t="s">
        <v>1083</v>
      </c>
      <c r="E344" s="5" t="s">
        <v>1084</v>
      </c>
      <c r="F344" s="1"/>
      <c r="G344" s="5"/>
      <c r="H344" s="2"/>
      <c r="I344" s="2"/>
      <c r="J344" s="2"/>
      <c r="K344" s="2"/>
      <c r="L344" s="2"/>
      <c r="M344" s="2"/>
      <c r="N344" s="2"/>
      <c r="O344" s="2"/>
      <c r="P344" s="2"/>
      <c r="Q344" s="2"/>
      <c r="R344" s="2"/>
      <c r="S344" s="2"/>
      <c r="T344" s="2"/>
      <c r="U344" s="2"/>
      <c r="V344" s="2"/>
      <c r="W344" s="2"/>
      <c r="X344" s="2"/>
    </row>
    <row r="345" spans="1:24" ht="47.25" x14ac:dyDescent="0.2">
      <c r="A345" s="16" t="str">
        <f>$C$4&amp;"-"&amp;TEXT(COUNTA($E$15:E345),"00")</f>
        <v>TC-316</v>
      </c>
      <c r="B345" s="31"/>
      <c r="C345" s="5" t="s">
        <v>1085</v>
      </c>
      <c r="D345" s="5" t="s">
        <v>1086</v>
      </c>
      <c r="E345" s="5" t="s">
        <v>1087</v>
      </c>
      <c r="F345" s="1" t="s">
        <v>24</v>
      </c>
      <c r="G345" s="5"/>
      <c r="H345" s="2"/>
      <c r="I345" s="2"/>
      <c r="J345" s="2"/>
      <c r="K345" s="2"/>
      <c r="L345" s="2"/>
      <c r="M345" s="2"/>
      <c r="N345" s="2"/>
      <c r="O345" s="2"/>
      <c r="P345" s="2"/>
      <c r="Q345" s="2"/>
      <c r="R345" s="2"/>
      <c r="S345" s="2"/>
      <c r="T345" s="2"/>
      <c r="U345" s="2"/>
      <c r="V345" s="2"/>
      <c r="W345" s="2"/>
      <c r="X345" s="2"/>
    </row>
    <row r="346" spans="1:24" ht="31.5" x14ac:dyDescent="0.2">
      <c r="A346" s="16" t="str">
        <f>$C$4&amp;"-"&amp;TEXT(COUNTA($E$15:E346),"00")</f>
        <v>TC-317</v>
      </c>
      <c r="B346" s="31"/>
      <c r="C346" s="5" t="s">
        <v>1088</v>
      </c>
      <c r="D346" s="5" t="s">
        <v>1089</v>
      </c>
      <c r="E346" s="5" t="s">
        <v>1090</v>
      </c>
      <c r="F346" s="1" t="s">
        <v>24</v>
      </c>
      <c r="G346" s="17" t="s">
        <v>1091</v>
      </c>
      <c r="H346" s="2"/>
      <c r="I346" s="2"/>
      <c r="J346" s="2"/>
      <c r="K346" s="2"/>
      <c r="L346" s="2"/>
      <c r="M346" s="2"/>
      <c r="N346" s="2"/>
      <c r="O346" s="2"/>
      <c r="P346" s="2"/>
      <c r="Q346" s="2"/>
      <c r="R346" s="2"/>
      <c r="S346" s="2"/>
      <c r="T346" s="2"/>
      <c r="U346" s="2"/>
      <c r="V346" s="2"/>
      <c r="W346" s="2"/>
      <c r="X346" s="2"/>
    </row>
    <row r="347" spans="1:24" ht="47.25" x14ac:dyDescent="0.2">
      <c r="A347" s="16" t="str">
        <f>$C$4&amp;"-"&amp;TEXT(COUNTA($E$15:E347),"00")</f>
        <v>TC-318</v>
      </c>
      <c r="B347" s="32"/>
      <c r="C347" s="5" t="s">
        <v>1092</v>
      </c>
      <c r="D347" s="5" t="s">
        <v>1093</v>
      </c>
      <c r="E347" s="5" t="s">
        <v>1094</v>
      </c>
      <c r="F347" s="1" t="s">
        <v>24</v>
      </c>
      <c r="G347" s="17" t="s">
        <v>1095</v>
      </c>
      <c r="H347" s="2"/>
      <c r="I347" s="2"/>
      <c r="J347" s="2"/>
      <c r="K347" s="2"/>
      <c r="L347" s="2"/>
      <c r="M347" s="2"/>
      <c r="N347" s="2"/>
      <c r="O347" s="2"/>
      <c r="P347" s="2"/>
      <c r="Q347" s="2"/>
      <c r="R347" s="2"/>
      <c r="S347" s="2"/>
      <c r="T347" s="2"/>
      <c r="U347" s="2"/>
      <c r="V347" s="2"/>
      <c r="W347" s="2"/>
      <c r="X347" s="2"/>
    </row>
    <row r="348" spans="1:24" ht="31.5" x14ac:dyDescent="0.2">
      <c r="A348" s="16" t="str">
        <f>$C$4&amp;"-"&amp;TEXT(COUNTA($E$15:E348),"00")</f>
        <v>TC-319</v>
      </c>
      <c r="B348" s="36" t="s">
        <v>1096</v>
      </c>
      <c r="C348" s="5" t="s">
        <v>1097</v>
      </c>
      <c r="D348" s="5" t="s">
        <v>1098</v>
      </c>
      <c r="E348" s="5" t="s">
        <v>1099</v>
      </c>
      <c r="F348" s="1" t="s">
        <v>24</v>
      </c>
      <c r="G348" s="5"/>
      <c r="H348" s="2"/>
      <c r="I348" s="2"/>
      <c r="J348" s="2"/>
      <c r="K348" s="2"/>
      <c r="L348" s="2"/>
      <c r="M348" s="2"/>
      <c r="N348" s="2"/>
      <c r="O348" s="2"/>
      <c r="P348" s="2"/>
      <c r="Q348" s="2"/>
      <c r="R348" s="2"/>
      <c r="S348" s="2"/>
      <c r="T348" s="2"/>
      <c r="U348" s="2"/>
      <c r="V348" s="2"/>
      <c r="W348" s="2"/>
      <c r="X348" s="2"/>
    </row>
    <row r="349" spans="1:24" ht="31.5" x14ac:dyDescent="0.2">
      <c r="A349" s="16" t="str">
        <f>$C$4&amp;"-"&amp;TEXT(COUNTA($E$15:E349),"00")</f>
        <v>TC-320</v>
      </c>
      <c r="B349" s="31"/>
      <c r="C349" s="5" t="s">
        <v>1100</v>
      </c>
      <c r="D349" s="5" t="s">
        <v>1101</v>
      </c>
      <c r="E349" s="5" t="s">
        <v>1102</v>
      </c>
      <c r="F349" s="1" t="s">
        <v>24</v>
      </c>
      <c r="G349" s="5"/>
      <c r="H349" s="2"/>
      <c r="I349" s="2"/>
      <c r="J349" s="2"/>
      <c r="K349" s="2"/>
      <c r="L349" s="2"/>
      <c r="M349" s="2"/>
      <c r="N349" s="2"/>
      <c r="O349" s="2"/>
      <c r="P349" s="2"/>
      <c r="Q349" s="2"/>
      <c r="R349" s="2"/>
      <c r="S349" s="2"/>
      <c r="T349" s="2"/>
      <c r="U349" s="2"/>
      <c r="V349" s="2"/>
      <c r="W349" s="2"/>
      <c r="X349" s="2"/>
    </row>
    <row r="350" spans="1:24" ht="31.5" x14ac:dyDescent="0.2">
      <c r="A350" s="16" t="str">
        <f>$C$4&amp;"-"&amp;TEXT(COUNTA($E$15:E350),"00")</f>
        <v>TC-321</v>
      </c>
      <c r="B350" s="31"/>
      <c r="C350" s="5" t="s">
        <v>1103</v>
      </c>
      <c r="D350" s="5" t="s">
        <v>1104</v>
      </c>
      <c r="E350" s="5" t="s">
        <v>1105</v>
      </c>
      <c r="F350" s="1" t="s">
        <v>24</v>
      </c>
      <c r="G350" s="5"/>
      <c r="H350" s="2"/>
      <c r="I350" s="2"/>
      <c r="J350" s="2"/>
      <c r="K350" s="2"/>
      <c r="L350" s="2"/>
      <c r="M350" s="2"/>
      <c r="N350" s="2"/>
      <c r="O350" s="2"/>
      <c r="P350" s="2"/>
      <c r="Q350" s="2"/>
      <c r="R350" s="2"/>
      <c r="S350" s="2"/>
      <c r="T350" s="2"/>
      <c r="U350" s="2"/>
      <c r="V350" s="2"/>
      <c r="W350" s="2"/>
      <c r="X350" s="2"/>
    </row>
    <row r="351" spans="1:24" x14ac:dyDescent="0.2">
      <c r="A351" s="16" t="str">
        <f>$C$4&amp;"-"&amp;TEXT(COUNTA($E$15:E351),"00")</f>
        <v>TC-322</v>
      </c>
      <c r="B351" s="31"/>
      <c r="C351" s="5" t="s">
        <v>1106</v>
      </c>
      <c r="D351" s="5" t="s">
        <v>1107</v>
      </c>
      <c r="E351" s="7" t="s">
        <v>1108</v>
      </c>
      <c r="F351" s="1" t="s">
        <v>24</v>
      </c>
      <c r="G351" s="5" t="s">
        <v>1109</v>
      </c>
      <c r="H351" s="2"/>
      <c r="I351" s="2"/>
      <c r="J351" s="2"/>
      <c r="K351" s="2"/>
      <c r="L351" s="2"/>
      <c r="M351" s="2"/>
      <c r="N351" s="2"/>
      <c r="O351" s="2"/>
      <c r="P351" s="2"/>
      <c r="Q351" s="2"/>
      <c r="R351" s="2"/>
      <c r="S351" s="2"/>
      <c r="T351" s="2"/>
      <c r="U351" s="2"/>
      <c r="V351" s="2"/>
      <c r="W351" s="2"/>
      <c r="X351" s="2"/>
    </row>
    <row r="352" spans="1:24" x14ac:dyDescent="0.2">
      <c r="A352" s="16" t="str">
        <f>$C$4&amp;"-"&amp;TEXT(COUNTA($E$15:E352),"00")</f>
        <v>TC-323</v>
      </c>
      <c r="B352" s="31"/>
      <c r="C352" s="5" t="s">
        <v>1106</v>
      </c>
      <c r="D352" s="5" t="s">
        <v>1110</v>
      </c>
      <c r="E352" s="5" t="s">
        <v>1111</v>
      </c>
      <c r="F352" s="1" t="s">
        <v>24</v>
      </c>
      <c r="G352" s="5"/>
      <c r="H352" s="2"/>
      <c r="I352" s="2"/>
      <c r="J352" s="2"/>
      <c r="K352" s="2"/>
      <c r="L352" s="2"/>
      <c r="M352" s="2"/>
      <c r="N352" s="2"/>
      <c r="O352" s="2"/>
      <c r="P352" s="2"/>
      <c r="Q352" s="2"/>
      <c r="R352" s="2"/>
      <c r="S352" s="2"/>
      <c r="T352" s="2"/>
      <c r="U352" s="2"/>
      <c r="V352" s="2"/>
      <c r="W352" s="2"/>
      <c r="X352" s="2"/>
    </row>
    <row r="353" spans="1:24" ht="31.5" x14ac:dyDescent="0.2">
      <c r="A353" s="16" t="str">
        <f>$C$4&amp;"-"&amp;TEXT(COUNTA($E$15:E353),"00")</f>
        <v>TC-324</v>
      </c>
      <c r="B353" s="32"/>
      <c r="C353" s="5" t="s">
        <v>1112</v>
      </c>
      <c r="D353" s="5" t="s">
        <v>1113</v>
      </c>
      <c r="E353" s="5" t="s">
        <v>1114</v>
      </c>
      <c r="F353" s="1" t="s">
        <v>24</v>
      </c>
      <c r="G353" s="5"/>
      <c r="H353" s="2"/>
      <c r="I353" s="2"/>
      <c r="J353" s="2"/>
      <c r="K353" s="2"/>
      <c r="L353" s="2"/>
      <c r="M353" s="2"/>
      <c r="N353" s="2"/>
      <c r="O353" s="2"/>
      <c r="P353" s="2"/>
      <c r="Q353" s="2"/>
      <c r="R353" s="2"/>
      <c r="S353" s="2"/>
      <c r="T353" s="2"/>
      <c r="U353" s="2"/>
      <c r="V353" s="2"/>
      <c r="W353" s="2"/>
      <c r="X353" s="2"/>
    </row>
    <row r="354" spans="1:24" ht="31.5" x14ac:dyDescent="0.2">
      <c r="A354" s="16" t="str">
        <f>$C$4&amp;"-"&amp;TEXT(COUNTA($E$15:E354),"00")</f>
        <v>TC-325</v>
      </c>
      <c r="B354" s="36" t="s">
        <v>1115</v>
      </c>
      <c r="C354" s="17" t="s">
        <v>1116</v>
      </c>
      <c r="D354" s="17" t="s">
        <v>1117</v>
      </c>
      <c r="E354" s="17" t="s">
        <v>1118</v>
      </c>
      <c r="F354" s="1" t="s">
        <v>24</v>
      </c>
      <c r="G354" s="5"/>
      <c r="H354" s="2"/>
      <c r="I354" s="2"/>
      <c r="J354" s="2"/>
      <c r="K354" s="2"/>
      <c r="L354" s="2"/>
      <c r="M354" s="2"/>
      <c r="N354" s="2"/>
      <c r="O354" s="2"/>
      <c r="P354" s="2"/>
      <c r="Q354" s="2"/>
      <c r="R354" s="2"/>
      <c r="S354" s="2"/>
      <c r="T354" s="2"/>
      <c r="U354" s="2"/>
      <c r="V354" s="2"/>
      <c r="W354" s="2"/>
      <c r="X354" s="2"/>
    </row>
    <row r="355" spans="1:24" ht="31.5" x14ac:dyDescent="0.2">
      <c r="A355" s="16" t="str">
        <f>$C$4&amp;"-"&amp;TEXT(COUNTA($E$15:E355),"00")</f>
        <v>TC-326</v>
      </c>
      <c r="B355" s="31"/>
      <c r="C355" s="17" t="s">
        <v>1119</v>
      </c>
      <c r="D355" s="17" t="s">
        <v>1120</v>
      </c>
      <c r="E355" s="17" t="s">
        <v>1121</v>
      </c>
      <c r="F355" s="1" t="s">
        <v>24</v>
      </c>
      <c r="G355" s="5"/>
      <c r="H355" s="2"/>
      <c r="I355" s="2"/>
      <c r="J355" s="2"/>
      <c r="K355" s="2"/>
      <c r="L355" s="2"/>
      <c r="M355" s="2"/>
      <c r="N355" s="2"/>
      <c r="O355" s="2"/>
      <c r="P355" s="2"/>
      <c r="Q355" s="2"/>
      <c r="R355" s="2"/>
      <c r="S355" s="2"/>
      <c r="T355" s="2"/>
      <c r="U355" s="2"/>
      <c r="V355" s="2"/>
      <c r="W355" s="2"/>
      <c r="X355" s="2"/>
    </row>
    <row r="356" spans="1:24" ht="31.5" x14ac:dyDescent="0.2">
      <c r="A356" s="16" t="str">
        <f>$C$4&amp;"-"&amp;TEXT(COUNTA($E$15:E356),"00")</f>
        <v>TC-327</v>
      </c>
      <c r="B356" s="31"/>
      <c r="C356" s="17" t="s">
        <v>1122</v>
      </c>
      <c r="D356" s="17" t="s">
        <v>1123</v>
      </c>
      <c r="E356" s="17" t="s">
        <v>1124</v>
      </c>
      <c r="F356" s="1" t="s">
        <v>24</v>
      </c>
      <c r="G356" s="5"/>
      <c r="H356" s="2"/>
      <c r="I356" s="2"/>
      <c r="J356" s="2"/>
      <c r="K356" s="2"/>
      <c r="L356" s="2"/>
      <c r="M356" s="2"/>
      <c r="N356" s="2"/>
      <c r="O356" s="2"/>
      <c r="P356" s="2"/>
      <c r="Q356" s="2"/>
      <c r="R356" s="2"/>
      <c r="S356" s="2"/>
      <c r="T356" s="2"/>
      <c r="U356" s="2"/>
      <c r="V356" s="2"/>
      <c r="W356" s="2"/>
      <c r="X356" s="2"/>
    </row>
    <row r="357" spans="1:24" ht="31.5" x14ac:dyDescent="0.2">
      <c r="A357" s="16" t="str">
        <f>$C$4&amp;"-"&amp;TEXT(COUNTA($E$15:E357),"00")</f>
        <v>TC-328</v>
      </c>
      <c r="B357" s="31"/>
      <c r="C357" s="17" t="s">
        <v>1125</v>
      </c>
      <c r="D357" s="17" t="s">
        <v>1126</v>
      </c>
      <c r="E357" s="17" t="s">
        <v>1127</v>
      </c>
      <c r="F357" s="1" t="s">
        <v>24</v>
      </c>
      <c r="G357" s="5"/>
      <c r="H357" s="2"/>
      <c r="I357" s="2"/>
      <c r="J357" s="2"/>
      <c r="K357" s="2"/>
      <c r="L357" s="2"/>
      <c r="M357" s="2"/>
      <c r="N357" s="2"/>
      <c r="O357" s="2"/>
      <c r="P357" s="2"/>
      <c r="Q357" s="2"/>
      <c r="R357" s="2"/>
      <c r="S357" s="2"/>
      <c r="T357" s="2"/>
      <c r="U357" s="2"/>
      <c r="V357" s="2"/>
      <c r="W357" s="2"/>
      <c r="X357" s="2"/>
    </row>
    <row r="358" spans="1:24" ht="31.5" x14ac:dyDescent="0.2">
      <c r="A358" s="16" t="str">
        <f>$C$4&amp;"-"&amp;TEXT(COUNTA($E$15:E358),"00")</f>
        <v>TC-329</v>
      </c>
      <c r="B358" s="31"/>
      <c r="C358" s="17" t="s">
        <v>1128</v>
      </c>
      <c r="D358" s="17" t="s">
        <v>1129</v>
      </c>
      <c r="E358" s="17" t="s">
        <v>1130</v>
      </c>
      <c r="F358" s="1" t="s">
        <v>24</v>
      </c>
      <c r="G358" s="5"/>
      <c r="H358" s="2"/>
      <c r="I358" s="2"/>
      <c r="J358" s="2"/>
      <c r="K358" s="2"/>
      <c r="L358" s="2"/>
      <c r="M358" s="2"/>
      <c r="N358" s="2"/>
      <c r="O358" s="2"/>
      <c r="P358" s="2"/>
      <c r="Q358" s="2"/>
      <c r="R358" s="2"/>
      <c r="S358" s="2"/>
      <c r="T358" s="2"/>
      <c r="U358" s="2"/>
      <c r="V358" s="2"/>
      <c r="W358" s="2"/>
      <c r="X358" s="2"/>
    </row>
    <row r="359" spans="1:24" ht="31.5" x14ac:dyDescent="0.2">
      <c r="A359" s="16" t="str">
        <f>$C$4&amp;"-"&amp;TEXT(COUNTA($E$15:E359),"00")</f>
        <v>TC-330</v>
      </c>
      <c r="B359" s="32"/>
      <c r="C359" s="17" t="s">
        <v>1131</v>
      </c>
      <c r="D359" s="17" t="s">
        <v>1132</v>
      </c>
      <c r="E359" s="17" t="s">
        <v>1133</v>
      </c>
      <c r="F359" s="1" t="s">
        <v>111</v>
      </c>
      <c r="G359" s="5"/>
      <c r="H359" s="2"/>
      <c r="I359" s="2"/>
      <c r="J359" s="2"/>
      <c r="K359" s="2"/>
      <c r="L359" s="2"/>
      <c r="M359" s="2"/>
      <c r="N359" s="2"/>
      <c r="O359" s="2"/>
      <c r="P359" s="2"/>
      <c r="Q359" s="2"/>
      <c r="R359" s="2"/>
      <c r="S359" s="2"/>
      <c r="T359" s="2"/>
      <c r="U359" s="2"/>
      <c r="V359" s="2"/>
      <c r="W359" s="2"/>
      <c r="X359" s="2"/>
    </row>
    <row r="360" spans="1:24" x14ac:dyDescent="0.2">
      <c r="A360" s="39" t="s">
        <v>1134</v>
      </c>
      <c r="B360" s="34"/>
      <c r="C360" s="34"/>
      <c r="D360" s="34"/>
      <c r="E360" s="34"/>
      <c r="F360" s="35"/>
      <c r="G360" s="15"/>
      <c r="H360" s="2"/>
      <c r="I360" s="2"/>
      <c r="J360" s="2"/>
      <c r="K360" s="2"/>
      <c r="L360" s="2"/>
      <c r="M360" s="2"/>
      <c r="N360" s="2"/>
      <c r="O360" s="2"/>
      <c r="P360" s="2"/>
      <c r="Q360" s="2"/>
      <c r="R360" s="2"/>
      <c r="S360" s="2"/>
      <c r="T360" s="2"/>
      <c r="U360" s="2"/>
      <c r="V360" s="2"/>
      <c r="W360" s="2"/>
      <c r="X360" s="2"/>
    </row>
    <row r="361" spans="1:24" ht="78.75" x14ac:dyDescent="0.2">
      <c r="A361" s="16" t="str">
        <f>$C$4&amp;"-"&amp;TEXT(COUNTA($E$15:E361),"00")</f>
        <v>TC-331</v>
      </c>
      <c r="B361" s="36" t="s">
        <v>1135</v>
      </c>
      <c r="C361" s="5" t="s">
        <v>1136</v>
      </c>
      <c r="D361" s="5" t="s">
        <v>1137</v>
      </c>
      <c r="E361" s="5" t="s">
        <v>1138</v>
      </c>
      <c r="F361" s="1" t="s">
        <v>111</v>
      </c>
      <c r="G361" s="5"/>
      <c r="H361" s="2"/>
      <c r="I361" s="2"/>
      <c r="J361" s="2"/>
      <c r="K361" s="2"/>
      <c r="L361" s="2"/>
      <c r="M361" s="2"/>
      <c r="N361" s="2"/>
      <c r="O361" s="2"/>
      <c r="P361" s="2"/>
      <c r="Q361" s="2"/>
      <c r="R361" s="2"/>
      <c r="S361" s="2"/>
      <c r="T361" s="2"/>
      <c r="U361" s="2"/>
      <c r="V361" s="2"/>
      <c r="W361" s="2"/>
      <c r="X361" s="2"/>
    </row>
    <row r="362" spans="1:24" ht="31.5" x14ac:dyDescent="0.2">
      <c r="A362" s="16" t="str">
        <f>$C$4&amp;"-"&amp;TEXT(COUNTA($E$15:E362),"00")</f>
        <v>TC-332</v>
      </c>
      <c r="B362" s="31"/>
      <c r="C362" s="5" t="s">
        <v>1139</v>
      </c>
      <c r="D362" s="5" t="s">
        <v>1140</v>
      </c>
      <c r="E362" s="5" t="s">
        <v>1141</v>
      </c>
      <c r="F362" s="1" t="s">
        <v>24</v>
      </c>
      <c r="G362" s="5"/>
      <c r="H362" s="2"/>
      <c r="I362" s="2"/>
      <c r="J362" s="2"/>
      <c r="K362" s="2"/>
      <c r="L362" s="2"/>
      <c r="M362" s="2"/>
      <c r="N362" s="2"/>
      <c r="O362" s="2"/>
      <c r="P362" s="2"/>
      <c r="Q362" s="2"/>
      <c r="R362" s="2"/>
      <c r="S362" s="2"/>
      <c r="T362" s="2"/>
      <c r="U362" s="2"/>
      <c r="V362" s="2"/>
      <c r="W362" s="2"/>
      <c r="X362" s="2"/>
    </row>
    <row r="363" spans="1:24" ht="110.25" x14ac:dyDescent="0.2">
      <c r="A363" s="16" t="str">
        <f>$C$4&amp;"-"&amp;TEXT(COUNTA($E$15:E363),"00")</f>
        <v>TC-333</v>
      </c>
      <c r="B363" s="31"/>
      <c r="C363" s="5" t="s">
        <v>1142</v>
      </c>
      <c r="D363" s="5" t="s">
        <v>1143</v>
      </c>
      <c r="E363" s="5" t="s">
        <v>1144</v>
      </c>
      <c r="F363" s="1"/>
      <c r="G363" s="5"/>
      <c r="H363" s="2"/>
      <c r="I363" s="2"/>
      <c r="J363" s="2"/>
      <c r="K363" s="2"/>
      <c r="L363" s="2"/>
      <c r="M363" s="2"/>
      <c r="N363" s="2"/>
      <c r="O363" s="2"/>
      <c r="P363" s="2"/>
      <c r="Q363" s="2"/>
      <c r="R363" s="2"/>
      <c r="S363" s="2"/>
      <c r="T363" s="2"/>
      <c r="U363" s="2"/>
      <c r="V363" s="2"/>
      <c r="W363" s="2"/>
      <c r="X363" s="2"/>
    </row>
    <row r="364" spans="1:24" ht="31.5" x14ac:dyDescent="0.2">
      <c r="A364" s="16" t="str">
        <f>$C$4&amp;"-"&amp;TEXT(COUNTA($E$15:E364),"00")</f>
        <v>TC-334</v>
      </c>
      <c r="B364" s="31"/>
      <c r="C364" s="5" t="s">
        <v>1145</v>
      </c>
      <c r="D364" s="5" t="s">
        <v>1146</v>
      </c>
      <c r="E364" s="5" t="s">
        <v>1147</v>
      </c>
      <c r="F364" s="1" t="s">
        <v>24</v>
      </c>
      <c r="G364" s="5"/>
      <c r="H364" s="2"/>
      <c r="I364" s="2"/>
      <c r="J364" s="2"/>
      <c r="K364" s="2"/>
      <c r="L364" s="2"/>
      <c r="M364" s="2"/>
      <c r="N364" s="2"/>
      <c r="O364" s="2"/>
      <c r="P364" s="2"/>
      <c r="Q364" s="2"/>
      <c r="R364" s="2"/>
      <c r="S364" s="2"/>
      <c r="T364" s="2"/>
      <c r="U364" s="2"/>
      <c r="V364" s="2"/>
      <c r="W364" s="2"/>
      <c r="X364" s="2"/>
    </row>
    <row r="365" spans="1:24" ht="31.5" x14ac:dyDescent="0.2">
      <c r="A365" s="16" t="str">
        <f>$C$4&amp;"-"&amp;TEXT(COUNTA($E$15:E365),"00")</f>
        <v>TC-335</v>
      </c>
      <c r="B365" s="31"/>
      <c r="C365" s="5" t="s">
        <v>1148</v>
      </c>
      <c r="D365" s="5" t="s">
        <v>1149</v>
      </c>
      <c r="E365" s="5" t="s">
        <v>1150</v>
      </c>
      <c r="F365" s="1" t="s">
        <v>24</v>
      </c>
      <c r="G365" s="5"/>
      <c r="H365" s="2"/>
      <c r="I365" s="2"/>
      <c r="J365" s="2"/>
      <c r="K365" s="2"/>
      <c r="L365" s="2"/>
      <c r="M365" s="2"/>
      <c r="N365" s="2"/>
      <c r="O365" s="2"/>
      <c r="P365" s="2"/>
      <c r="Q365" s="2"/>
      <c r="R365" s="2"/>
      <c r="S365" s="2"/>
      <c r="T365" s="2"/>
      <c r="U365" s="2"/>
      <c r="V365" s="2"/>
      <c r="W365" s="2"/>
      <c r="X365" s="2"/>
    </row>
    <row r="366" spans="1:24" ht="31.5" x14ac:dyDescent="0.2">
      <c r="A366" s="16" t="str">
        <f>$C$4&amp;"-"&amp;TEXT(COUNTA($E$15:E366),"00")</f>
        <v>TC-336</v>
      </c>
      <c r="B366" s="31"/>
      <c r="C366" s="5" t="s">
        <v>1151</v>
      </c>
      <c r="D366" s="5" t="s">
        <v>1152</v>
      </c>
      <c r="E366" s="5" t="s">
        <v>1153</v>
      </c>
      <c r="F366" s="1" t="s">
        <v>24</v>
      </c>
      <c r="G366" s="5"/>
      <c r="H366" s="2"/>
      <c r="I366" s="2"/>
      <c r="J366" s="2"/>
      <c r="K366" s="2"/>
      <c r="L366" s="2"/>
      <c r="M366" s="2"/>
      <c r="N366" s="2"/>
      <c r="O366" s="2"/>
      <c r="P366" s="2"/>
      <c r="Q366" s="2"/>
      <c r="R366" s="2"/>
      <c r="S366" s="2"/>
      <c r="T366" s="2"/>
      <c r="U366" s="2"/>
      <c r="V366" s="2"/>
      <c r="W366" s="2"/>
      <c r="X366" s="2"/>
    </row>
    <row r="367" spans="1:24" ht="78.75" x14ac:dyDescent="0.2">
      <c r="A367" s="16" t="str">
        <f>$C$4&amp;"-"&amp;TEXT(COUNTA($E$15:E367),"00")</f>
        <v>TC-337</v>
      </c>
      <c r="B367" s="31"/>
      <c r="C367" s="5" t="s">
        <v>1154</v>
      </c>
      <c r="D367" s="5" t="s">
        <v>1155</v>
      </c>
      <c r="E367" s="5" t="s">
        <v>1156</v>
      </c>
      <c r="F367" s="1" t="s">
        <v>24</v>
      </c>
      <c r="G367" s="5"/>
      <c r="H367" s="2"/>
      <c r="I367" s="2"/>
      <c r="J367" s="2"/>
      <c r="K367" s="2"/>
      <c r="L367" s="2"/>
      <c r="M367" s="2"/>
      <c r="N367" s="2"/>
      <c r="O367" s="2"/>
      <c r="P367" s="2"/>
      <c r="Q367" s="2"/>
      <c r="R367" s="2"/>
      <c r="S367" s="2"/>
      <c r="T367" s="2"/>
      <c r="U367" s="2"/>
      <c r="V367" s="2"/>
      <c r="W367" s="2"/>
      <c r="X367" s="2"/>
    </row>
    <row r="368" spans="1:24" ht="31.5" x14ac:dyDescent="0.2">
      <c r="A368" s="16" t="str">
        <f>$C$4&amp;"-"&amp;TEXT(COUNTA($E$15:E368),"00")</f>
        <v>TC-338</v>
      </c>
      <c r="B368" s="32"/>
      <c r="C368" s="5" t="s">
        <v>1157</v>
      </c>
      <c r="D368" s="5" t="s">
        <v>1158</v>
      </c>
      <c r="E368" s="5" t="s">
        <v>1159</v>
      </c>
      <c r="F368" s="1" t="s">
        <v>24</v>
      </c>
      <c r="G368" s="5"/>
      <c r="H368" s="2"/>
      <c r="I368" s="2"/>
      <c r="J368" s="2"/>
      <c r="K368" s="2"/>
      <c r="L368" s="2"/>
      <c r="M368" s="2"/>
      <c r="N368" s="2"/>
      <c r="O368" s="2"/>
      <c r="P368" s="2"/>
      <c r="Q368" s="2"/>
      <c r="R368" s="2"/>
      <c r="S368" s="2"/>
      <c r="T368" s="2"/>
      <c r="U368" s="2"/>
      <c r="V368" s="2"/>
      <c r="W368" s="2"/>
      <c r="X368" s="2"/>
    </row>
    <row r="369" spans="1:24" ht="63" x14ac:dyDescent="0.2">
      <c r="A369" s="16" t="str">
        <f>$C$4&amp;"-"&amp;TEXT(COUNTA($E$15:E369),"00")</f>
        <v>TC-339</v>
      </c>
      <c r="B369" s="36" t="s">
        <v>1160</v>
      </c>
      <c r="C369" s="5" t="s">
        <v>1161</v>
      </c>
      <c r="D369" s="5" t="s">
        <v>1162</v>
      </c>
      <c r="E369" s="5" t="s">
        <v>1163</v>
      </c>
      <c r="F369" s="1" t="s">
        <v>24</v>
      </c>
      <c r="G369" s="17" t="s">
        <v>1164</v>
      </c>
      <c r="H369" s="2"/>
      <c r="I369" s="2"/>
      <c r="J369" s="2"/>
      <c r="K369" s="2"/>
      <c r="L369" s="2"/>
      <c r="M369" s="2"/>
      <c r="N369" s="2"/>
      <c r="O369" s="2"/>
      <c r="P369" s="2"/>
      <c r="Q369" s="2"/>
      <c r="R369" s="2"/>
      <c r="S369" s="2"/>
      <c r="T369" s="2"/>
      <c r="U369" s="2"/>
      <c r="V369" s="2"/>
      <c r="W369" s="2"/>
      <c r="X369" s="2"/>
    </row>
    <row r="370" spans="1:24" ht="31.5" x14ac:dyDescent="0.2">
      <c r="A370" s="16" t="str">
        <f>$C$4&amp;"-"&amp;TEXT(COUNTA($E$15:E370),"00")</f>
        <v>TC-340</v>
      </c>
      <c r="B370" s="32"/>
      <c r="C370" s="5" t="s">
        <v>1165</v>
      </c>
      <c r="D370" s="5" t="s">
        <v>1166</v>
      </c>
      <c r="E370" s="5" t="s">
        <v>1167</v>
      </c>
      <c r="F370" s="1" t="s">
        <v>24</v>
      </c>
      <c r="G370" s="5"/>
      <c r="H370" s="2"/>
      <c r="I370" s="2"/>
      <c r="J370" s="2"/>
      <c r="K370" s="2"/>
      <c r="L370" s="2"/>
      <c r="M370" s="2"/>
      <c r="N370" s="2"/>
      <c r="O370" s="2"/>
      <c r="P370" s="2"/>
      <c r="Q370" s="2"/>
      <c r="R370" s="2"/>
      <c r="S370" s="2"/>
      <c r="T370" s="2"/>
      <c r="U370" s="2"/>
      <c r="V370" s="2"/>
      <c r="W370" s="2"/>
      <c r="X370" s="2"/>
    </row>
    <row r="371" spans="1:24" ht="63" x14ac:dyDescent="0.2">
      <c r="A371" s="16" t="str">
        <f>$C$4&amp;"-"&amp;TEXT(COUNTA($E$15:E371),"00")</f>
        <v>TC-341</v>
      </c>
      <c r="B371" s="36" t="s">
        <v>1168</v>
      </c>
      <c r="C371" s="5" t="s">
        <v>1169</v>
      </c>
      <c r="D371" s="5" t="s">
        <v>1170</v>
      </c>
      <c r="E371" s="5" t="s">
        <v>1171</v>
      </c>
      <c r="F371" s="1" t="s">
        <v>24</v>
      </c>
      <c r="G371" s="5"/>
      <c r="H371" s="2"/>
      <c r="I371" s="2"/>
      <c r="J371" s="2"/>
      <c r="K371" s="2"/>
      <c r="L371" s="2"/>
      <c r="M371" s="2"/>
      <c r="N371" s="2"/>
      <c r="O371" s="2"/>
      <c r="P371" s="2"/>
      <c r="Q371" s="2"/>
      <c r="R371" s="2"/>
      <c r="S371" s="2"/>
      <c r="T371" s="2"/>
      <c r="U371" s="2"/>
      <c r="V371" s="2"/>
      <c r="W371" s="2"/>
      <c r="X371" s="2"/>
    </row>
    <row r="372" spans="1:24" ht="31.5" x14ac:dyDescent="0.2">
      <c r="A372" s="16" t="str">
        <f>$C$4&amp;"-"&amp;TEXT(COUNTA($E$15:E372),"00")</f>
        <v>TC-342</v>
      </c>
      <c r="B372" s="31"/>
      <c r="C372" s="5" t="s">
        <v>1172</v>
      </c>
      <c r="D372" s="5" t="s">
        <v>1173</v>
      </c>
      <c r="E372" s="5" t="s">
        <v>1174</v>
      </c>
      <c r="F372" s="1" t="s">
        <v>24</v>
      </c>
      <c r="G372" s="5"/>
      <c r="H372" s="2"/>
      <c r="I372" s="2"/>
      <c r="J372" s="2"/>
      <c r="K372" s="2"/>
      <c r="L372" s="2"/>
      <c r="M372" s="2"/>
      <c r="N372" s="2"/>
      <c r="O372" s="2"/>
      <c r="P372" s="2"/>
      <c r="Q372" s="2"/>
      <c r="R372" s="2"/>
      <c r="S372" s="2"/>
      <c r="T372" s="2"/>
      <c r="U372" s="2"/>
      <c r="V372" s="2"/>
      <c r="W372" s="2"/>
      <c r="X372" s="2"/>
    </row>
    <row r="373" spans="1:24" ht="47.25" x14ac:dyDescent="0.2">
      <c r="A373" s="16" t="str">
        <f>$C$4&amp;"-"&amp;TEXT(COUNTA($E$15:E373),"00")</f>
        <v>TC-343</v>
      </c>
      <c r="B373" s="31"/>
      <c r="C373" s="5" t="s">
        <v>1175</v>
      </c>
      <c r="D373" s="5" t="s">
        <v>1176</v>
      </c>
      <c r="E373" s="5" t="s">
        <v>1177</v>
      </c>
      <c r="F373" s="1" t="s">
        <v>24</v>
      </c>
      <c r="G373" s="5"/>
      <c r="H373" s="2"/>
      <c r="I373" s="2"/>
      <c r="J373" s="2"/>
      <c r="K373" s="2"/>
      <c r="L373" s="2"/>
      <c r="M373" s="2"/>
      <c r="N373" s="2"/>
      <c r="O373" s="2"/>
      <c r="P373" s="2"/>
      <c r="Q373" s="2"/>
      <c r="R373" s="2"/>
      <c r="S373" s="2"/>
      <c r="T373" s="2"/>
      <c r="U373" s="2"/>
      <c r="V373" s="2"/>
      <c r="W373" s="2"/>
      <c r="X373" s="2"/>
    </row>
    <row r="374" spans="1:24" ht="47.25" x14ac:dyDescent="0.2">
      <c r="A374" s="16" t="str">
        <f>$C$4&amp;"-"&amp;TEXT(COUNTA($E$15:E374),"00")</f>
        <v>TC-344</v>
      </c>
      <c r="B374" s="32"/>
      <c r="C374" s="5" t="s">
        <v>1178</v>
      </c>
      <c r="D374" s="5" t="s">
        <v>1179</v>
      </c>
      <c r="E374" s="5" t="s">
        <v>1180</v>
      </c>
      <c r="F374" s="1" t="s">
        <v>24</v>
      </c>
      <c r="G374" s="5"/>
      <c r="H374" s="2"/>
      <c r="I374" s="2"/>
      <c r="J374" s="2"/>
      <c r="K374" s="2"/>
      <c r="L374" s="2"/>
      <c r="M374" s="2"/>
      <c r="N374" s="2"/>
      <c r="O374" s="2"/>
      <c r="P374" s="2"/>
      <c r="Q374" s="2"/>
      <c r="R374" s="2"/>
      <c r="S374" s="2"/>
      <c r="T374" s="2"/>
      <c r="U374" s="2"/>
      <c r="V374" s="2"/>
      <c r="W374" s="2"/>
      <c r="X374" s="2"/>
    </row>
    <row r="375" spans="1:24" ht="47.25" x14ac:dyDescent="0.2">
      <c r="A375" s="16" t="str">
        <f>$C$4&amp;"-"&amp;TEXT(COUNTA($E$15:E375),"00")</f>
        <v>TC-345</v>
      </c>
      <c r="B375" s="36" t="s">
        <v>1181</v>
      </c>
      <c r="C375" s="5" t="s">
        <v>1182</v>
      </c>
      <c r="D375" s="5" t="s">
        <v>1183</v>
      </c>
      <c r="E375" s="5" t="s">
        <v>1184</v>
      </c>
      <c r="F375" s="1" t="s">
        <v>111</v>
      </c>
      <c r="G375" s="5"/>
      <c r="H375" s="2"/>
      <c r="I375" s="2"/>
      <c r="J375" s="2"/>
      <c r="K375" s="2"/>
      <c r="L375" s="2"/>
      <c r="M375" s="2"/>
      <c r="N375" s="2"/>
      <c r="O375" s="2"/>
      <c r="P375" s="2"/>
      <c r="Q375" s="2"/>
      <c r="R375" s="2"/>
      <c r="S375" s="2"/>
      <c r="T375" s="2"/>
      <c r="U375" s="2"/>
      <c r="V375" s="2"/>
      <c r="W375" s="2"/>
      <c r="X375" s="2"/>
    </row>
    <row r="376" spans="1:24" ht="31.5" x14ac:dyDescent="0.2">
      <c r="A376" s="16" t="str">
        <f>$C$4&amp;"-"&amp;TEXT(COUNTA($E$15:E376),"00")</f>
        <v>TC-346</v>
      </c>
      <c r="B376" s="31"/>
      <c r="C376" s="5" t="s">
        <v>1185</v>
      </c>
      <c r="D376" s="5" t="s">
        <v>1186</v>
      </c>
      <c r="E376" s="5" t="s">
        <v>1187</v>
      </c>
      <c r="F376" s="1"/>
      <c r="G376" s="5"/>
      <c r="H376" s="2"/>
      <c r="I376" s="2"/>
      <c r="J376" s="2"/>
      <c r="K376" s="2"/>
      <c r="L376" s="2"/>
      <c r="M376" s="2"/>
      <c r="N376" s="2"/>
      <c r="O376" s="2"/>
      <c r="P376" s="2"/>
      <c r="Q376" s="2"/>
      <c r="R376" s="2"/>
      <c r="S376" s="2"/>
      <c r="T376" s="2"/>
      <c r="U376" s="2"/>
      <c r="V376" s="2"/>
      <c r="W376" s="2"/>
      <c r="X376" s="2"/>
    </row>
    <row r="377" spans="1:24" ht="78.75" x14ac:dyDescent="0.2">
      <c r="A377" s="16" t="str">
        <f>$C$4&amp;"-"&amp;TEXT(COUNTA($E$15:E377),"00")</f>
        <v>TC-347</v>
      </c>
      <c r="B377" s="31"/>
      <c r="C377" s="5" t="s">
        <v>1188</v>
      </c>
      <c r="D377" s="5" t="s">
        <v>1189</v>
      </c>
      <c r="E377" s="5" t="s">
        <v>1190</v>
      </c>
      <c r="F377" s="1"/>
      <c r="G377" s="5"/>
      <c r="H377" s="2"/>
      <c r="I377" s="2"/>
      <c r="J377" s="2"/>
      <c r="K377" s="2"/>
      <c r="L377" s="2"/>
      <c r="M377" s="2"/>
      <c r="N377" s="2"/>
      <c r="O377" s="2"/>
      <c r="P377" s="2"/>
      <c r="Q377" s="2"/>
      <c r="R377" s="2"/>
      <c r="S377" s="2"/>
      <c r="T377" s="2"/>
      <c r="U377" s="2"/>
      <c r="V377" s="2"/>
      <c r="W377" s="2"/>
      <c r="X377" s="2"/>
    </row>
    <row r="378" spans="1:24" ht="47.25" x14ac:dyDescent="0.2">
      <c r="A378" s="16" t="str">
        <f>$C$4&amp;"-"&amp;TEXT(COUNTA($E$15:E378),"00")</f>
        <v>TC-348</v>
      </c>
      <c r="B378" s="32"/>
      <c r="C378" s="5" t="s">
        <v>1191</v>
      </c>
      <c r="D378" s="5" t="s">
        <v>1192</v>
      </c>
      <c r="E378" s="5" t="s">
        <v>1193</v>
      </c>
      <c r="F378" s="1"/>
      <c r="G378" s="5"/>
      <c r="H378" s="2"/>
      <c r="I378" s="2"/>
      <c r="J378" s="2"/>
      <c r="K378" s="2"/>
      <c r="L378" s="2"/>
      <c r="M378" s="2"/>
      <c r="N378" s="2"/>
      <c r="O378" s="2"/>
      <c r="P378" s="2"/>
      <c r="Q378" s="2"/>
      <c r="R378" s="2"/>
      <c r="S378" s="2"/>
      <c r="T378" s="2"/>
      <c r="U378" s="2"/>
      <c r="V378" s="2"/>
      <c r="W378" s="2"/>
      <c r="X378" s="2"/>
    </row>
    <row r="379" spans="1:24" x14ac:dyDescent="0.2">
      <c r="A379" s="42" t="s">
        <v>1194</v>
      </c>
      <c r="B379" s="34"/>
      <c r="C379" s="35"/>
      <c r="D379" s="13"/>
      <c r="E379" s="13"/>
      <c r="F379" s="13"/>
      <c r="G379" s="13"/>
      <c r="H379" s="2"/>
      <c r="I379" s="2"/>
      <c r="J379" s="2"/>
      <c r="K379" s="2"/>
      <c r="L379" s="2"/>
      <c r="M379" s="2"/>
      <c r="N379" s="2"/>
      <c r="O379" s="2"/>
      <c r="P379" s="2"/>
      <c r="Q379" s="2"/>
      <c r="R379" s="2"/>
      <c r="S379" s="2"/>
      <c r="T379" s="2"/>
      <c r="U379" s="2"/>
      <c r="V379" s="2"/>
      <c r="W379" s="2"/>
      <c r="X379" s="2"/>
    </row>
    <row r="380" spans="1:24" ht="12.75" x14ac:dyDescent="0.2">
      <c r="A380" s="45" t="s">
        <v>1195</v>
      </c>
      <c r="B380" s="34"/>
      <c r="C380" s="34"/>
      <c r="D380" s="34"/>
      <c r="E380" s="34"/>
      <c r="F380" s="34"/>
      <c r="G380" s="35"/>
      <c r="H380" s="2"/>
      <c r="I380" s="2"/>
      <c r="J380" s="2"/>
      <c r="K380" s="2"/>
      <c r="L380" s="2"/>
      <c r="M380" s="2"/>
      <c r="N380" s="2"/>
      <c r="O380" s="2"/>
      <c r="P380" s="2"/>
      <c r="Q380" s="2"/>
      <c r="R380" s="2"/>
      <c r="S380" s="2"/>
      <c r="T380" s="2"/>
      <c r="U380" s="2"/>
      <c r="V380" s="2"/>
      <c r="W380" s="2"/>
      <c r="X380" s="2"/>
    </row>
    <row r="381" spans="1:24" x14ac:dyDescent="0.2">
      <c r="A381" s="39" t="s">
        <v>19</v>
      </c>
      <c r="B381" s="34"/>
      <c r="C381" s="34"/>
      <c r="D381" s="34"/>
      <c r="E381" s="34"/>
      <c r="F381" s="35"/>
      <c r="G381" s="15"/>
      <c r="H381" s="2"/>
      <c r="I381" s="2"/>
      <c r="J381" s="2"/>
      <c r="K381" s="2"/>
      <c r="L381" s="2"/>
      <c r="M381" s="2"/>
      <c r="N381" s="2"/>
      <c r="O381" s="2"/>
      <c r="P381" s="2"/>
      <c r="Q381" s="2"/>
      <c r="R381" s="2"/>
      <c r="S381" s="2"/>
      <c r="T381" s="2"/>
      <c r="U381" s="2"/>
      <c r="V381" s="2"/>
      <c r="W381" s="2"/>
      <c r="X381" s="2"/>
    </row>
    <row r="382" spans="1:24" ht="94.5" x14ac:dyDescent="0.2">
      <c r="A382" s="16" t="str">
        <f>$C$4&amp;"-"&amp;TEXT(COUNTA($E$15:E382),"00")</f>
        <v>TC-349</v>
      </c>
      <c r="B382" s="36" t="s">
        <v>20</v>
      </c>
      <c r="C382" s="5" t="s">
        <v>21</v>
      </c>
      <c r="D382" s="5" t="s">
        <v>1196</v>
      </c>
      <c r="E382" s="5" t="s">
        <v>1197</v>
      </c>
      <c r="F382" s="1"/>
      <c r="G382" s="15"/>
      <c r="H382" s="2"/>
      <c r="I382" s="2"/>
      <c r="J382" s="2"/>
      <c r="K382" s="2"/>
      <c r="L382" s="2"/>
      <c r="M382" s="2"/>
      <c r="N382" s="2"/>
      <c r="O382" s="2"/>
      <c r="P382" s="2"/>
      <c r="Q382" s="2"/>
      <c r="R382" s="2"/>
      <c r="S382" s="2"/>
      <c r="T382" s="2"/>
      <c r="U382" s="2"/>
      <c r="V382" s="2"/>
      <c r="W382" s="2"/>
      <c r="X382" s="2"/>
    </row>
    <row r="383" spans="1:24" ht="110.25" x14ac:dyDescent="0.2">
      <c r="A383" s="16" t="str">
        <f>$C$4&amp;"-"&amp;TEXT(COUNTA($E$15:E383),"00")</f>
        <v>TC-350</v>
      </c>
      <c r="B383" s="31"/>
      <c r="C383" s="5" t="s">
        <v>25</v>
      </c>
      <c r="D383" s="5" t="s">
        <v>26</v>
      </c>
      <c r="E383" s="5" t="s">
        <v>27</v>
      </c>
      <c r="F383" s="1"/>
      <c r="G383" s="15"/>
      <c r="H383" s="2"/>
      <c r="I383" s="2"/>
      <c r="J383" s="2"/>
      <c r="K383" s="2"/>
      <c r="L383" s="2"/>
      <c r="M383" s="2"/>
      <c r="N383" s="2"/>
      <c r="O383" s="2"/>
      <c r="P383" s="2"/>
      <c r="Q383" s="2"/>
      <c r="R383" s="2"/>
      <c r="S383" s="2"/>
      <c r="T383" s="2"/>
      <c r="U383" s="2"/>
      <c r="V383" s="2"/>
      <c r="W383" s="2"/>
      <c r="X383" s="2"/>
    </row>
    <row r="384" spans="1:24" ht="47.25" x14ac:dyDescent="0.2">
      <c r="A384" s="16" t="str">
        <f>$C$4&amp;"-"&amp;TEXT(COUNTA($E$15:E384),"00")</f>
        <v>TC-351</v>
      </c>
      <c r="B384" s="31"/>
      <c r="C384" s="5" t="s">
        <v>28</v>
      </c>
      <c r="D384" s="5" t="s">
        <v>29</v>
      </c>
      <c r="E384" s="5" t="s">
        <v>1198</v>
      </c>
      <c r="F384" s="1"/>
      <c r="G384" s="15"/>
      <c r="H384" s="2"/>
      <c r="I384" s="2"/>
      <c r="J384" s="2"/>
      <c r="K384" s="2"/>
      <c r="L384" s="2"/>
      <c r="M384" s="2"/>
      <c r="N384" s="2"/>
      <c r="O384" s="2"/>
      <c r="P384" s="2"/>
      <c r="Q384" s="2"/>
      <c r="R384" s="2"/>
      <c r="S384" s="2"/>
      <c r="T384" s="2"/>
      <c r="U384" s="2"/>
      <c r="V384" s="2"/>
      <c r="W384" s="2"/>
      <c r="X384" s="2"/>
    </row>
    <row r="385" spans="1:24" ht="31.5" x14ac:dyDescent="0.2">
      <c r="A385" s="16" t="str">
        <f>$C$4&amp;"-"&amp;TEXT(COUNTA($E$15:E385),"00")</f>
        <v>TC-352</v>
      </c>
      <c r="B385" s="31"/>
      <c r="C385" s="5" t="s">
        <v>31</v>
      </c>
      <c r="D385" s="5" t="s">
        <v>32</v>
      </c>
      <c r="E385" s="5" t="s">
        <v>33</v>
      </c>
      <c r="F385" s="1"/>
      <c r="G385" s="15"/>
      <c r="H385" s="2"/>
      <c r="I385" s="2"/>
      <c r="J385" s="2"/>
      <c r="K385" s="2"/>
      <c r="L385" s="2"/>
      <c r="M385" s="2"/>
      <c r="N385" s="2"/>
      <c r="O385" s="2"/>
      <c r="P385" s="2"/>
      <c r="Q385" s="2"/>
      <c r="R385" s="2"/>
      <c r="S385" s="2"/>
      <c r="T385" s="2"/>
      <c r="U385" s="2"/>
      <c r="V385" s="2"/>
      <c r="W385" s="2"/>
      <c r="X385" s="2"/>
    </row>
    <row r="386" spans="1:24" ht="47.25" x14ac:dyDescent="0.2">
      <c r="A386" s="16" t="str">
        <f>$C$4&amp;"-"&amp;TEXT(COUNTA($E$15:E386),"00")</f>
        <v>TC-353</v>
      </c>
      <c r="B386" s="32"/>
      <c r="C386" s="5" t="s">
        <v>34</v>
      </c>
      <c r="D386" s="5" t="s">
        <v>35</v>
      </c>
      <c r="E386" s="5" t="s">
        <v>36</v>
      </c>
      <c r="F386" s="1"/>
      <c r="G386" s="15"/>
      <c r="H386" s="2"/>
      <c r="I386" s="2"/>
      <c r="J386" s="2"/>
      <c r="K386" s="2"/>
      <c r="L386" s="2"/>
      <c r="M386" s="2"/>
      <c r="N386" s="2"/>
      <c r="O386" s="2"/>
      <c r="P386" s="2"/>
      <c r="Q386" s="2"/>
      <c r="R386" s="2"/>
      <c r="S386" s="2"/>
      <c r="T386" s="2"/>
      <c r="U386" s="2"/>
      <c r="V386" s="2"/>
      <c r="W386" s="2"/>
      <c r="X386" s="2"/>
    </row>
    <row r="387" spans="1:24" x14ac:dyDescent="0.2">
      <c r="A387" s="33" t="s">
        <v>1199</v>
      </c>
      <c r="B387" s="34"/>
      <c r="C387" s="34"/>
      <c r="D387" s="34"/>
      <c r="E387" s="34"/>
      <c r="F387" s="35"/>
      <c r="G387" s="15"/>
      <c r="H387" s="14"/>
      <c r="I387" s="14"/>
      <c r="J387" s="14"/>
      <c r="K387" s="14"/>
      <c r="L387" s="14"/>
      <c r="M387" s="14"/>
      <c r="N387" s="14"/>
      <c r="O387" s="14"/>
      <c r="P387" s="14"/>
      <c r="Q387" s="14"/>
      <c r="R387" s="14"/>
      <c r="S387" s="14"/>
      <c r="T387" s="14"/>
      <c r="U387" s="14"/>
      <c r="V387" s="14"/>
      <c r="W387" s="2"/>
      <c r="X387" s="2"/>
    </row>
    <row r="388" spans="1:24" x14ac:dyDescent="0.2">
      <c r="A388" s="19" t="s">
        <v>1200</v>
      </c>
      <c r="B388" s="37" t="s">
        <v>1201</v>
      </c>
      <c r="C388" s="15" t="s">
        <v>1202</v>
      </c>
      <c r="D388" s="15" t="s">
        <v>1203</v>
      </c>
      <c r="E388" s="15" t="s">
        <v>1204</v>
      </c>
      <c r="F388" s="15"/>
      <c r="G388" s="15"/>
      <c r="H388" s="14"/>
      <c r="I388" s="14"/>
      <c r="J388" s="14"/>
      <c r="K388" s="14"/>
      <c r="L388" s="14"/>
      <c r="M388" s="14"/>
      <c r="N388" s="14"/>
      <c r="O388" s="14"/>
      <c r="P388" s="14"/>
      <c r="Q388" s="14"/>
      <c r="R388" s="14"/>
      <c r="S388" s="14"/>
      <c r="T388" s="14"/>
      <c r="U388" s="14"/>
      <c r="V388" s="14"/>
      <c r="W388" s="2"/>
      <c r="X388" s="2"/>
    </row>
    <row r="389" spans="1:24" x14ac:dyDescent="0.2">
      <c r="A389" s="16" t="str">
        <f>$C$4&amp;"-"&amp;TEXT(COUNTA($E$15:E389),"00")</f>
        <v>TC-355</v>
      </c>
      <c r="B389" s="31"/>
      <c r="C389" s="15" t="s">
        <v>1205</v>
      </c>
      <c r="D389" s="15" t="s">
        <v>1206</v>
      </c>
      <c r="E389" s="15" t="s">
        <v>1207</v>
      </c>
      <c r="F389" s="1"/>
      <c r="G389" s="15"/>
      <c r="H389" s="14"/>
      <c r="I389" s="14"/>
      <c r="J389" s="14"/>
      <c r="K389" s="14"/>
      <c r="L389" s="14"/>
      <c r="M389" s="14"/>
      <c r="N389" s="14"/>
      <c r="O389" s="14"/>
      <c r="P389" s="14"/>
      <c r="Q389" s="14"/>
      <c r="R389" s="14"/>
      <c r="S389" s="14"/>
      <c r="T389" s="14"/>
      <c r="U389" s="14"/>
      <c r="V389" s="14"/>
      <c r="W389" s="2"/>
      <c r="X389" s="2"/>
    </row>
    <row r="390" spans="1:24" x14ac:dyDescent="0.2">
      <c r="A390" s="16" t="str">
        <f>$C$4&amp;"-"&amp;TEXT(COUNTA($E$15:E390),"00")</f>
        <v>TC-356</v>
      </c>
      <c r="B390" s="32"/>
      <c r="C390" s="15" t="s">
        <v>1208</v>
      </c>
      <c r="D390" s="15" t="s">
        <v>1209</v>
      </c>
      <c r="E390" s="15" t="s">
        <v>1207</v>
      </c>
      <c r="F390" s="1"/>
      <c r="G390" s="15"/>
      <c r="H390" s="14"/>
      <c r="I390" s="14"/>
      <c r="J390" s="14"/>
      <c r="K390" s="14"/>
      <c r="L390" s="14"/>
      <c r="M390" s="14"/>
      <c r="N390" s="14"/>
      <c r="O390" s="14"/>
      <c r="P390" s="14"/>
      <c r="Q390" s="14"/>
      <c r="R390" s="14"/>
      <c r="S390" s="14"/>
      <c r="T390" s="14"/>
      <c r="U390" s="14"/>
      <c r="V390" s="14"/>
      <c r="W390" s="2"/>
      <c r="X390" s="2"/>
    </row>
    <row r="391" spans="1:24" x14ac:dyDescent="0.2">
      <c r="A391" s="16" t="str">
        <f>$C$4&amp;"-"&amp;TEXT(COUNTA($E$15:E391),"00")</f>
        <v>TC-357</v>
      </c>
      <c r="B391" s="15" t="s">
        <v>41</v>
      </c>
      <c r="C391" s="15" t="s">
        <v>42</v>
      </c>
      <c r="D391" s="15" t="s">
        <v>1210</v>
      </c>
      <c r="E391" s="15" t="s">
        <v>1211</v>
      </c>
      <c r="F391" s="1"/>
      <c r="G391" s="15"/>
      <c r="H391" s="14"/>
      <c r="I391" s="14"/>
      <c r="J391" s="14"/>
      <c r="K391" s="14"/>
      <c r="L391" s="14"/>
      <c r="M391" s="14"/>
      <c r="N391" s="14"/>
      <c r="O391" s="14"/>
      <c r="P391" s="14"/>
      <c r="Q391" s="14"/>
      <c r="R391" s="14"/>
      <c r="S391" s="14"/>
      <c r="T391" s="14"/>
      <c r="U391" s="14"/>
      <c r="V391" s="14"/>
      <c r="W391" s="2"/>
      <c r="X391" s="2"/>
    </row>
    <row r="392" spans="1:24" ht="31.5" x14ac:dyDescent="0.2">
      <c r="A392" s="16" t="str">
        <f>$C$4&amp;"-"&amp;TEXT(COUNTA($E$15:E392),"00")</f>
        <v>TC-358</v>
      </c>
      <c r="B392" s="37" t="s">
        <v>1212</v>
      </c>
      <c r="C392" s="15" t="s">
        <v>252</v>
      </c>
      <c r="D392" s="15" t="s">
        <v>1213</v>
      </c>
      <c r="E392" s="15" t="s">
        <v>1214</v>
      </c>
      <c r="F392" s="1"/>
      <c r="G392" s="15"/>
      <c r="H392" s="14"/>
      <c r="I392" s="14"/>
      <c r="J392" s="14"/>
      <c r="K392" s="14"/>
      <c r="L392" s="14"/>
      <c r="M392" s="14"/>
      <c r="N392" s="14"/>
      <c r="O392" s="14"/>
      <c r="P392" s="14"/>
      <c r="Q392" s="14"/>
      <c r="R392" s="14"/>
      <c r="S392" s="14"/>
      <c r="T392" s="14"/>
      <c r="U392" s="14"/>
      <c r="V392" s="14"/>
      <c r="W392" s="2"/>
      <c r="X392" s="2"/>
    </row>
    <row r="393" spans="1:24" ht="31.5" x14ac:dyDescent="0.2">
      <c r="A393" s="16" t="str">
        <f>$C$4&amp;"-"&amp;TEXT(COUNTA($E$15:E393),"00")</f>
        <v>TC-359</v>
      </c>
      <c r="B393" s="31"/>
      <c r="C393" s="15" t="s">
        <v>255</v>
      </c>
      <c r="D393" s="15" t="s">
        <v>1215</v>
      </c>
      <c r="E393" s="15" t="s">
        <v>1216</v>
      </c>
      <c r="F393" s="1"/>
      <c r="G393" s="15"/>
      <c r="H393" s="14"/>
      <c r="I393" s="14"/>
      <c r="J393" s="14"/>
      <c r="K393" s="14"/>
      <c r="L393" s="14"/>
      <c r="M393" s="14"/>
      <c r="N393" s="14"/>
      <c r="O393" s="14"/>
      <c r="P393" s="14"/>
      <c r="Q393" s="14"/>
      <c r="R393" s="14"/>
      <c r="S393" s="14"/>
      <c r="T393" s="14"/>
      <c r="U393" s="14"/>
      <c r="V393" s="14"/>
      <c r="W393" s="2"/>
      <c r="X393" s="2"/>
    </row>
    <row r="394" spans="1:24" ht="31.5" x14ac:dyDescent="0.2">
      <c r="A394" s="16" t="str">
        <f>$C$4&amp;"-"&amp;TEXT(COUNTA($E$15:E394),"00")</f>
        <v>TC-360</v>
      </c>
      <c r="B394" s="31"/>
      <c r="C394" s="15" t="s">
        <v>259</v>
      </c>
      <c r="D394" s="15" t="s">
        <v>1217</v>
      </c>
      <c r="E394" s="15" t="s">
        <v>1218</v>
      </c>
      <c r="F394" s="1"/>
      <c r="G394" s="15"/>
      <c r="H394" s="14"/>
      <c r="I394" s="14"/>
      <c r="J394" s="14"/>
      <c r="K394" s="14"/>
      <c r="L394" s="14"/>
      <c r="M394" s="14"/>
      <c r="N394" s="14"/>
      <c r="O394" s="14"/>
      <c r="P394" s="14"/>
      <c r="Q394" s="14"/>
      <c r="R394" s="14"/>
      <c r="S394" s="14"/>
      <c r="T394" s="14"/>
      <c r="U394" s="14"/>
      <c r="V394" s="14"/>
      <c r="W394" s="2"/>
      <c r="X394" s="2"/>
    </row>
    <row r="395" spans="1:24" ht="31.5" x14ac:dyDescent="0.2">
      <c r="A395" s="16" t="str">
        <f>$C$4&amp;"-"&amp;TEXT(COUNTA($E$15:E395),"00")</f>
        <v>TC-361</v>
      </c>
      <c r="B395" s="31"/>
      <c r="C395" s="15" t="s">
        <v>262</v>
      </c>
      <c r="D395" s="15" t="s">
        <v>1219</v>
      </c>
      <c r="E395" s="15" t="s">
        <v>1220</v>
      </c>
      <c r="F395" s="1"/>
      <c r="G395" s="15"/>
      <c r="H395" s="14"/>
      <c r="I395" s="14"/>
      <c r="J395" s="14"/>
      <c r="K395" s="14"/>
      <c r="L395" s="14"/>
      <c r="M395" s="14"/>
      <c r="N395" s="14"/>
      <c r="O395" s="14"/>
      <c r="P395" s="14"/>
      <c r="Q395" s="14"/>
      <c r="R395" s="14"/>
      <c r="S395" s="14"/>
      <c r="T395" s="14"/>
      <c r="U395" s="14"/>
      <c r="V395" s="14"/>
      <c r="W395" s="2"/>
      <c r="X395" s="2"/>
    </row>
    <row r="396" spans="1:24" ht="31.5" x14ac:dyDescent="0.2">
      <c r="A396" s="16" t="str">
        <f>$C$4&amp;"-"&amp;TEXT(COUNTA($E$15:E396),"00")</f>
        <v>TC-362</v>
      </c>
      <c r="B396" s="32"/>
      <c r="C396" s="15" t="s">
        <v>1221</v>
      </c>
      <c r="D396" s="15" t="s">
        <v>1222</v>
      </c>
      <c r="E396" s="15" t="s">
        <v>1223</v>
      </c>
      <c r="F396" s="1"/>
      <c r="G396" s="15"/>
      <c r="H396" s="14"/>
      <c r="I396" s="14"/>
      <c r="J396" s="14"/>
      <c r="K396" s="14"/>
      <c r="L396" s="14"/>
      <c r="M396" s="14"/>
      <c r="N396" s="14"/>
      <c r="O396" s="14"/>
      <c r="P396" s="14"/>
      <c r="Q396" s="14"/>
      <c r="R396" s="14"/>
      <c r="S396" s="14"/>
      <c r="T396" s="14"/>
      <c r="U396" s="14"/>
      <c r="V396" s="14"/>
      <c r="W396" s="2"/>
      <c r="X396" s="2"/>
    </row>
    <row r="397" spans="1:24" ht="47.25" x14ac:dyDescent="0.2">
      <c r="A397" s="16" t="str">
        <f>$C$4&amp;"-"&amp;TEXT(COUNTA($E$15:E397),"00")</f>
        <v>TC-363</v>
      </c>
      <c r="B397" s="37" t="s">
        <v>1224</v>
      </c>
      <c r="C397" s="15" t="s">
        <v>1225</v>
      </c>
      <c r="D397" s="15" t="s">
        <v>1226</v>
      </c>
      <c r="E397" s="15" t="s">
        <v>1227</v>
      </c>
      <c r="F397" s="1"/>
      <c r="G397" s="15"/>
      <c r="H397" s="14"/>
      <c r="I397" s="14"/>
      <c r="J397" s="14"/>
      <c r="K397" s="14"/>
      <c r="L397" s="14"/>
      <c r="M397" s="14"/>
      <c r="N397" s="14"/>
      <c r="O397" s="14"/>
      <c r="P397" s="14"/>
      <c r="Q397" s="14"/>
      <c r="R397" s="14"/>
      <c r="S397" s="14"/>
      <c r="T397" s="14"/>
      <c r="U397" s="14"/>
      <c r="V397" s="14"/>
      <c r="W397" s="2"/>
      <c r="X397" s="2"/>
    </row>
    <row r="398" spans="1:24" ht="31.5" x14ac:dyDescent="0.2">
      <c r="A398" s="16" t="str">
        <f>$C$4&amp;"-"&amp;TEXT(COUNTA($E$15:E398),"00")</f>
        <v>TC-364</v>
      </c>
      <c r="B398" s="32"/>
      <c r="C398" s="15" t="s">
        <v>1228</v>
      </c>
      <c r="D398" s="15" t="s">
        <v>1229</v>
      </c>
      <c r="E398" s="15" t="s">
        <v>1230</v>
      </c>
      <c r="F398" s="1"/>
      <c r="G398" s="15"/>
      <c r="H398" s="14"/>
      <c r="I398" s="14"/>
      <c r="J398" s="14"/>
      <c r="K398" s="14"/>
      <c r="L398" s="14"/>
      <c r="M398" s="14"/>
      <c r="N398" s="14"/>
      <c r="O398" s="14"/>
      <c r="P398" s="14"/>
      <c r="Q398" s="14"/>
      <c r="R398" s="14"/>
      <c r="S398" s="14"/>
      <c r="T398" s="14"/>
      <c r="U398" s="14"/>
      <c r="V398" s="14"/>
      <c r="W398" s="2"/>
      <c r="X398" s="2"/>
    </row>
    <row r="399" spans="1:24" ht="94.5" x14ac:dyDescent="0.2">
      <c r="A399" s="16" t="str">
        <f>$C$4&amp;"-"&amp;TEXT(COUNTA($E$15:E399),"00")</f>
        <v>TC-365</v>
      </c>
      <c r="B399" s="37" t="s">
        <v>1231</v>
      </c>
      <c r="C399" s="15" t="s">
        <v>1232</v>
      </c>
      <c r="D399" s="15" t="s">
        <v>1233</v>
      </c>
      <c r="E399" s="15" t="s">
        <v>1234</v>
      </c>
      <c r="F399" s="1"/>
      <c r="G399" s="20" t="s">
        <v>1235</v>
      </c>
      <c r="H399" s="14"/>
      <c r="I399" s="14"/>
      <c r="J399" s="14"/>
      <c r="K399" s="14"/>
      <c r="L399" s="14"/>
      <c r="M399" s="14"/>
      <c r="N399" s="14"/>
      <c r="O399" s="14"/>
      <c r="P399" s="14"/>
      <c r="Q399" s="14"/>
      <c r="R399" s="14"/>
      <c r="S399" s="14"/>
      <c r="T399" s="14"/>
      <c r="U399" s="14"/>
      <c r="V399" s="14"/>
      <c r="W399" s="2"/>
      <c r="X399" s="2"/>
    </row>
    <row r="400" spans="1:24" ht="47.25" x14ac:dyDescent="0.2">
      <c r="A400" s="16" t="str">
        <f>$C$4&amp;"-"&amp;TEXT(COUNTA($E$15:E400),"00")</f>
        <v>TC-366</v>
      </c>
      <c r="B400" s="31"/>
      <c r="C400" s="15" t="s">
        <v>1236</v>
      </c>
      <c r="D400" s="15" t="s">
        <v>1237</v>
      </c>
      <c r="E400" s="15" t="s">
        <v>1238</v>
      </c>
      <c r="F400" s="1"/>
      <c r="G400" s="20" t="s">
        <v>1239</v>
      </c>
      <c r="H400" s="14"/>
      <c r="I400" s="14"/>
      <c r="J400" s="14"/>
      <c r="K400" s="14"/>
      <c r="L400" s="14"/>
      <c r="M400" s="14"/>
      <c r="N400" s="14"/>
      <c r="O400" s="14"/>
      <c r="P400" s="14"/>
      <c r="Q400" s="14"/>
      <c r="R400" s="14"/>
      <c r="S400" s="14"/>
      <c r="T400" s="14"/>
      <c r="U400" s="14"/>
      <c r="V400" s="14"/>
      <c r="W400" s="2"/>
      <c r="X400" s="2"/>
    </row>
    <row r="401" spans="1:24" ht="47.25" x14ac:dyDescent="0.2">
      <c r="A401" s="16" t="str">
        <f>$C$4&amp;"-"&amp;TEXT(COUNTA($E$15:E401),"00")</f>
        <v>TC-367</v>
      </c>
      <c r="B401" s="32"/>
      <c r="C401" s="15" t="s">
        <v>1240</v>
      </c>
      <c r="D401" s="15" t="s">
        <v>1241</v>
      </c>
      <c r="E401" s="15" t="s">
        <v>1242</v>
      </c>
      <c r="F401" s="1"/>
      <c r="G401" s="15"/>
      <c r="H401" s="14"/>
      <c r="I401" s="14"/>
      <c r="J401" s="14"/>
      <c r="K401" s="14"/>
      <c r="L401" s="14"/>
      <c r="M401" s="14"/>
      <c r="N401" s="14"/>
      <c r="O401" s="14"/>
      <c r="P401" s="14"/>
      <c r="Q401" s="14"/>
      <c r="R401" s="14"/>
      <c r="S401" s="14"/>
      <c r="T401" s="14"/>
      <c r="U401" s="14"/>
      <c r="V401" s="14"/>
      <c r="W401" s="2"/>
      <c r="X401" s="2"/>
    </row>
    <row r="402" spans="1:24" ht="31.5" x14ac:dyDescent="0.2">
      <c r="A402" s="16" t="str">
        <f>$C$4&amp;"-"&amp;TEXT(COUNTA($E$15:E402),"00")</f>
        <v>TC-368</v>
      </c>
      <c r="B402" s="37" t="s">
        <v>1243</v>
      </c>
      <c r="C402" s="15" t="s">
        <v>1244</v>
      </c>
      <c r="D402" s="15" t="s">
        <v>1245</v>
      </c>
      <c r="E402" s="15" t="s">
        <v>1246</v>
      </c>
      <c r="F402" s="1"/>
      <c r="G402" s="15"/>
      <c r="H402" s="14"/>
      <c r="I402" s="14"/>
      <c r="J402" s="14"/>
      <c r="K402" s="14"/>
      <c r="L402" s="14"/>
      <c r="M402" s="14"/>
      <c r="N402" s="14"/>
      <c r="O402" s="14"/>
      <c r="P402" s="14"/>
      <c r="Q402" s="14"/>
      <c r="R402" s="14"/>
      <c r="S402" s="14"/>
      <c r="T402" s="14"/>
      <c r="U402" s="14"/>
      <c r="V402" s="14"/>
      <c r="W402" s="2"/>
      <c r="X402" s="2"/>
    </row>
    <row r="403" spans="1:24" ht="31.5" x14ac:dyDescent="0.2">
      <c r="A403" s="16" t="str">
        <f>$C$4&amp;"-"&amp;TEXT(COUNTA($E$15:E403),"00")</f>
        <v>TC-369</v>
      </c>
      <c r="B403" s="31"/>
      <c r="C403" s="15" t="s">
        <v>1247</v>
      </c>
      <c r="D403" s="15" t="s">
        <v>1248</v>
      </c>
      <c r="E403" s="15" t="s">
        <v>1249</v>
      </c>
      <c r="F403" s="1"/>
      <c r="G403" s="15"/>
      <c r="H403" s="14"/>
      <c r="I403" s="14"/>
      <c r="J403" s="14"/>
      <c r="K403" s="14"/>
      <c r="L403" s="14"/>
      <c r="M403" s="14"/>
      <c r="N403" s="14"/>
      <c r="O403" s="14"/>
      <c r="P403" s="14"/>
      <c r="Q403" s="14"/>
      <c r="R403" s="14"/>
      <c r="S403" s="14"/>
      <c r="T403" s="14"/>
      <c r="U403" s="14"/>
      <c r="V403" s="14"/>
      <c r="W403" s="2"/>
      <c r="X403" s="2"/>
    </row>
    <row r="404" spans="1:24" ht="31.5" x14ac:dyDescent="0.2">
      <c r="A404" s="16" t="str">
        <f>$C$4&amp;"-"&amp;TEXT(COUNTA($E$15:E404),"00")</f>
        <v>TC-370</v>
      </c>
      <c r="B404" s="31"/>
      <c r="C404" s="15" t="s">
        <v>1250</v>
      </c>
      <c r="D404" s="15" t="s">
        <v>1251</v>
      </c>
      <c r="E404" s="15" t="s">
        <v>1249</v>
      </c>
      <c r="F404" s="1"/>
      <c r="G404" s="15"/>
      <c r="H404" s="14"/>
      <c r="I404" s="14"/>
      <c r="J404" s="14"/>
      <c r="K404" s="14"/>
      <c r="L404" s="14"/>
      <c r="M404" s="14"/>
      <c r="N404" s="14"/>
      <c r="O404" s="14"/>
      <c r="P404" s="14"/>
      <c r="Q404" s="14"/>
      <c r="R404" s="14"/>
      <c r="S404" s="14"/>
      <c r="T404" s="14"/>
      <c r="U404" s="14"/>
      <c r="V404" s="14"/>
      <c r="W404" s="2"/>
      <c r="X404" s="2"/>
    </row>
    <row r="405" spans="1:24" ht="31.5" x14ac:dyDescent="0.2">
      <c r="A405" s="16" t="str">
        <f>$C$4&amp;"-"&amp;TEXT(COUNTA($E$15:E405),"00")</f>
        <v>TC-371</v>
      </c>
      <c r="B405" s="31"/>
      <c r="C405" s="15" t="s">
        <v>1252</v>
      </c>
      <c r="D405" s="15" t="s">
        <v>1253</v>
      </c>
      <c r="E405" s="15" t="s">
        <v>1249</v>
      </c>
      <c r="F405" s="1"/>
      <c r="G405" s="15"/>
      <c r="H405" s="14"/>
      <c r="I405" s="14"/>
      <c r="J405" s="14"/>
      <c r="K405" s="14"/>
      <c r="L405" s="14"/>
      <c r="M405" s="14"/>
      <c r="N405" s="14"/>
      <c r="O405" s="14"/>
      <c r="P405" s="14"/>
      <c r="Q405" s="14"/>
      <c r="R405" s="14"/>
      <c r="S405" s="14"/>
      <c r="T405" s="14"/>
      <c r="U405" s="14"/>
      <c r="V405" s="14"/>
      <c r="W405" s="2"/>
      <c r="X405" s="2"/>
    </row>
    <row r="406" spans="1:24" ht="31.5" x14ac:dyDescent="0.2">
      <c r="A406" s="16" t="str">
        <f>$C$4&amp;"-"&amp;TEXT(COUNTA($E$15:E406),"00")</f>
        <v>TC-372</v>
      </c>
      <c r="B406" s="32"/>
      <c r="C406" s="15" t="s">
        <v>1254</v>
      </c>
      <c r="D406" s="15" t="s">
        <v>1255</v>
      </c>
      <c r="E406" s="15" t="s">
        <v>1256</v>
      </c>
      <c r="F406" s="1"/>
      <c r="G406" s="15"/>
      <c r="H406" s="14"/>
      <c r="I406" s="14"/>
      <c r="J406" s="14"/>
      <c r="K406" s="14"/>
      <c r="L406" s="14"/>
      <c r="M406" s="14"/>
      <c r="N406" s="14"/>
      <c r="O406" s="14"/>
      <c r="P406" s="14"/>
      <c r="Q406" s="14"/>
      <c r="R406" s="14"/>
      <c r="S406" s="14"/>
      <c r="T406" s="14"/>
      <c r="U406" s="14"/>
      <c r="V406" s="14"/>
      <c r="W406" s="2"/>
      <c r="X406" s="2"/>
    </row>
    <row r="407" spans="1:24" x14ac:dyDescent="0.2">
      <c r="A407" s="33" t="s">
        <v>1257</v>
      </c>
      <c r="B407" s="34"/>
      <c r="C407" s="34"/>
      <c r="D407" s="34"/>
      <c r="E407" s="34"/>
      <c r="F407" s="35"/>
      <c r="G407" s="15"/>
      <c r="H407" s="14"/>
      <c r="I407" s="14"/>
      <c r="J407" s="14"/>
      <c r="K407" s="14"/>
      <c r="L407" s="14"/>
      <c r="M407" s="14"/>
      <c r="N407" s="14"/>
      <c r="O407" s="14"/>
      <c r="P407" s="14"/>
      <c r="Q407" s="14"/>
      <c r="R407" s="14"/>
      <c r="S407" s="14"/>
      <c r="T407" s="14"/>
      <c r="U407" s="14"/>
      <c r="V407" s="14"/>
      <c r="W407" s="2"/>
      <c r="X407" s="2"/>
    </row>
    <row r="408" spans="1:24" ht="47.25" x14ac:dyDescent="0.2">
      <c r="A408" s="16" t="str">
        <f>$C$4&amp;"-"&amp;TEXT(COUNTA($E$15:E408),"00")</f>
        <v>TC-373</v>
      </c>
      <c r="B408" s="37" t="s">
        <v>1258</v>
      </c>
      <c r="C408" s="15" t="s">
        <v>1259</v>
      </c>
      <c r="D408" s="15" t="s">
        <v>1260</v>
      </c>
      <c r="E408" s="15" t="s">
        <v>1261</v>
      </c>
      <c r="F408" s="1"/>
      <c r="G408" s="15"/>
      <c r="H408" s="14"/>
      <c r="I408" s="14"/>
      <c r="J408" s="14"/>
      <c r="K408" s="14"/>
      <c r="L408" s="14"/>
      <c r="M408" s="14"/>
      <c r="N408" s="14"/>
      <c r="O408" s="14"/>
      <c r="P408" s="14"/>
      <c r="Q408" s="14"/>
      <c r="R408" s="14"/>
      <c r="S408" s="14"/>
      <c r="T408" s="14"/>
      <c r="U408" s="14"/>
      <c r="V408" s="14"/>
      <c r="W408" s="2"/>
      <c r="X408" s="2"/>
    </row>
    <row r="409" spans="1:24" ht="78.75" x14ac:dyDescent="0.2">
      <c r="A409" s="16" t="str">
        <f>$C$4&amp;"-"&amp;TEXT(COUNTA($E$15:E409),"00")</f>
        <v>TC-374</v>
      </c>
      <c r="B409" s="32"/>
      <c r="C409" s="15" t="s">
        <v>1262</v>
      </c>
      <c r="D409" s="15" t="s">
        <v>1263</v>
      </c>
      <c r="E409" s="15" t="s">
        <v>1264</v>
      </c>
      <c r="F409" s="1"/>
      <c r="G409" s="15"/>
      <c r="H409" s="14"/>
      <c r="I409" s="14"/>
      <c r="J409" s="14"/>
      <c r="K409" s="14"/>
      <c r="L409" s="14"/>
      <c r="M409" s="14"/>
      <c r="N409" s="14"/>
      <c r="O409" s="14"/>
      <c r="P409" s="14"/>
      <c r="Q409" s="14"/>
      <c r="R409" s="14"/>
      <c r="S409" s="14"/>
      <c r="T409" s="14"/>
      <c r="U409" s="14"/>
      <c r="V409" s="14"/>
      <c r="W409" s="2"/>
      <c r="X409" s="2"/>
    </row>
    <row r="410" spans="1:24" ht="31.5" x14ac:dyDescent="0.2">
      <c r="A410" s="16" t="str">
        <f>$C$4&amp;"-"&amp;TEXT(COUNTA($E$15:E410),"00")</f>
        <v>TC-375</v>
      </c>
      <c r="B410" s="15" t="s">
        <v>1265</v>
      </c>
      <c r="C410" s="15" t="s">
        <v>1266</v>
      </c>
      <c r="D410" s="15" t="s">
        <v>1267</v>
      </c>
      <c r="E410" s="15" t="s">
        <v>1268</v>
      </c>
      <c r="F410" s="1"/>
      <c r="G410" s="15"/>
      <c r="H410" s="14"/>
      <c r="I410" s="14"/>
      <c r="J410" s="14"/>
      <c r="K410" s="14"/>
      <c r="L410" s="14"/>
      <c r="M410" s="14"/>
      <c r="N410" s="14"/>
      <c r="O410" s="14"/>
      <c r="P410" s="14"/>
      <c r="Q410" s="14"/>
      <c r="R410" s="14"/>
      <c r="S410" s="14"/>
      <c r="T410" s="14"/>
      <c r="U410" s="14"/>
      <c r="V410" s="14"/>
      <c r="W410" s="2"/>
      <c r="X410" s="2"/>
    </row>
    <row r="411" spans="1:24" ht="31.5" x14ac:dyDescent="0.2">
      <c r="A411" s="16" t="str">
        <f>$C$4&amp;"-"&amp;TEXT(COUNTA($E$15:E411),"00")</f>
        <v>TC-376</v>
      </c>
      <c r="B411" s="37" t="s">
        <v>1269</v>
      </c>
      <c r="C411" s="15" t="s">
        <v>1270</v>
      </c>
      <c r="D411" s="15" t="s">
        <v>1271</v>
      </c>
      <c r="E411" s="15" t="s">
        <v>1272</v>
      </c>
      <c r="F411" s="1"/>
      <c r="G411" s="15"/>
      <c r="H411" s="14"/>
      <c r="I411" s="14"/>
      <c r="J411" s="14"/>
      <c r="K411" s="14"/>
      <c r="L411" s="14"/>
      <c r="M411" s="14"/>
      <c r="N411" s="14"/>
      <c r="O411" s="14"/>
      <c r="P411" s="14"/>
      <c r="Q411" s="14"/>
      <c r="R411" s="14"/>
      <c r="S411" s="14"/>
      <c r="T411" s="14"/>
      <c r="U411" s="14"/>
      <c r="V411" s="14"/>
      <c r="W411" s="2"/>
      <c r="X411" s="2"/>
    </row>
    <row r="412" spans="1:24" ht="31.5" x14ac:dyDescent="0.2">
      <c r="A412" s="16" t="str">
        <f>$C$4&amp;"-"&amp;TEXT(COUNTA($E$15:E412),"00")</f>
        <v>TC-377</v>
      </c>
      <c r="B412" s="32"/>
      <c r="C412" s="15" t="s">
        <v>1273</v>
      </c>
      <c r="D412" s="15" t="s">
        <v>1274</v>
      </c>
      <c r="E412" s="15" t="s">
        <v>1275</v>
      </c>
      <c r="F412" s="1"/>
      <c r="G412" s="15"/>
      <c r="H412" s="14"/>
      <c r="I412" s="14"/>
      <c r="J412" s="14"/>
      <c r="K412" s="14"/>
      <c r="L412" s="14"/>
      <c r="M412" s="14"/>
      <c r="N412" s="14"/>
      <c r="O412" s="14"/>
      <c r="P412" s="14"/>
      <c r="Q412" s="14"/>
      <c r="R412" s="14"/>
      <c r="S412" s="14"/>
      <c r="T412" s="14"/>
      <c r="U412" s="14"/>
      <c r="V412" s="14"/>
      <c r="W412" s="2"/>
      <c r="X412" s="2"/>
    </row>
    <row r="413" spans="1:24" ht="31.5" x14ac:dyDescent="0.2">
      <c r="A413" s="16" t="str">
        <f>$C$4&amp;"-"&amp;TEXT(COUNTA($E$15:E413),"00")</f>
        <v>TC-378</v>
      </c>
      <c r="B413" s="37" t="s">
        <v>1276</v>
      </c>
      <c r="C413" s="15" t="s">
        <v>1277</v>
      </c>
      <c r="D413" s="15" t="s">
        <v>1278</v>
      </c>
      <c r="E413" s="15" t="s">
        <v>1279</v>
      </c>
      <c r="F413" s="1"/>
      <c r="G413" s="15"/>
      <c r="H413" s="14"/>
      <c r="I413" s="14"/>
      <c r="J413" s="14"/>
      <c r="K413" s="14"/>
      <c r="L413" s="14"/>
      <c r="M413" s="14"/>
      <c r="N413" s="14"/>
      <c r="O413" s="14"/>
      <c r="P413" s="14"/>
      <c r="Q413" s="14"/>
      <c r="R413" s="14"/>
      <c r="S413" s="14"/>
      <c r="T413" s="14"/>
      <c r="U413" s="14"/>
      <c r="V413" s="14"/>
      <c r="W413" s="2"/>
      <c r="X413" s="2"/>
    </row>
    <row r="414" spans="1:24" ht="31.5" x14ac:dyDescent="0.2">
      <c r="A414" s="16" t="str">
        <f>$C$4&amp;"-"&amp;TEXT(COUNTA($E$15:E414),"00")</f>
        <v>TC-379</v>
      </c>
      <c r="B414" s="32"/>
      <c r="C414" s="15" t="s">
        <v>1280</v>
      </c>
      <c r="D414" s="15" t="s">
        <v>1281</v>
      </c>
      <c r="E414" s="15" t="s">
        <v>1282</v>
      </c>
      <c r="F414" s="1"/>
      <c r="G414" s="15"/>
      <c r="H414" s="14"/>
      <c r="I414" s="14"/>
      <c r="J414" s="14"/>
      <c r="K414" s="14"/>
      <c r="L414" s="14"/>
      <c r="M414" s="14"/>
      <c r="N414" s="14"/>
      <c r="O414" s="14"/>
      <c r="P414" s="14"/>
      <c r="Q414" s="14"/>
      <c r="R414" s="14"/>
      <c r="S414" s="14"/>
      <c r="T414" s="14"/>
      <c r="U414" s="14"/>
      <c r="V414" s="14"/>
      <c r="W414" s="2"/>
      <c r="X414" s="2"/>
    </row>
    <row r="415" spans="1:24" x14ac:dyDescent="0.2">
      <c r="A415" s="16" t="str">
        <f>$C$4&amp;"-"&amp;TEXT(COUNTA($E$15:E415),"00")</f>
        <v>TC-380</v>
      </c>
      <c r="B415" s="37" t="s">
        <v>1283</v>
      </c>
      <c r="C415" s="15" t="s">
        <v>1284</v>
      </c>
      <c r="D415" s="15" t="s">
        <v>1285</v>
      </c>
      <c r="E415" s="15" t="s">
        <v>1286</v>
      </c>
      <c r="F415" s="1"/>
      <c r="G415" s="15"/>
      <c r="H415" s="14"/>
      <c r="I415" s="14"/>
      <c r="J415" s="14"/>
      <c r="K415" s="14"/>
      <c r="L415" s="14"/>
      <c r="M415" s="14"/>
      <c r="N415" s="14"/>
      <c r="O415" s="14"/>
      <c r="P415" s="14"/>
      <c r="Q415" s="14"/>
      <c r="R415" s="14"/>
      <c r="S415" s="14"/>
      <c r="T415" s="14"/>
      <c r="U415" s="14"/>
      <c r="V415" s="14"/>
      <c r="W415" s="2"/>
      <c r="X415" s="2"/>
    </row>
    <row r="416" spans="1:24" ht="31.5" x14ac:dyDescent="0.2">
      <c r="A416" s="16" t="str">
        <f>$C$4&amp;"-"&amp;TEXT(COUNTA($E$15:E416),"00")</f>
        <v>TC-381</v>
      </c>
      <c r="B416" s="32"/>
      <c r="C416" s="15" t="s">
        <v>1287</v>
      </c>
      <c r="D416" s="15" t="s">
        <v>1288</v>
      </c>
      <c r="E416" s="15" t="s">
        <v>1289</v>
      </c>
      <c r="F416" s="1"/>
      <c r="G416" s="15"/>
      <c r="H416" s="14"/>
      <c r="I416" s="14"/>
      <c r="J416" s="14"/>
      <c r="K416" s="14"/>
      <c r="L416" s="14"/>
      <c r="M416" s="14"/>
      <c r="N416" s="14"/>
      <c r="O416" s="14"/>
      <c r="P416" s="14"/>
      <c r="Q416" s="14"/>
      <c r="R416" s="14"/>
      <c r="S416" s="14"/>
      <c r="T416" s="14"/>
      <c r="U416" s="14"/>
      <c r="V416" s="14"/>
      <c r="W416" s="2"/>
      <c r="X416" s="2"/>
    </row>
    <row r="417" spans="1:24" x14ac:dyDescent="0.2">
      <c r="A417" s="16" t="str">
        <f>$C$4&amp;"-"&amp;TEXT(COUNTA($E$15:E417),"00")</f>
        <v>TC-382</v>
      </c>
      <c r="B417" s="37" t="s">
        <v>1290</v>
      </c>
      <c r="C417" s="15" t="s">
        <v>1291</v>
      </c>
      <c r="D417" s="15" t="s">
        <v>1292</v>
      </c>
      <c r="E417" s="15" t="s">
        <v>1293</v>
      </c>
      <c r="F417" s="1"/>
      <c r="G417" s="15"/>
      <c r="H417" s="14"/>
      <c r="I417" s="14"/>
      <c r="J417" s="14"/>
      <c r="K417" s="14"/>
      <c r="L417" s="14"/>
      <c r="M417" s="14"/>
      <c r="N417" s="14"/>
      <c r="O417" s="14"/>
      <c r="P417" s="14"/>
      <c r="Q417" s="14"/>
      <c r="R417" s="14"/>
      <c r="S417" s="14"/>
      <c r="T417" s="14"/>
      <c r="U417" s="14"/>
      <c r="V417" s="14"/>
      <c r="W417" s="2"/>
      <c r="X417" s="2"/>
    </row>
    <row r="418" spans="1:24" ht="31.5" x14ac:dyDescent="0.2">
      <c r="A418" s="16" t="str">
        <f>$C$4&amp;"-"&amp;TEXT(COUNTA($E$15:E418),"00")</f>
        <v>TC-383</v>
      </c>
      <c r="B418" s="32"/>
      <c r="C418" s="15" t="s">
        <v>237</v>
      </c>
      <c r="D418" s="15" t="s">
        <v>1294</v>
      </c>
      <c r="E418" s="15" t="s">
        <v>1295</v>
      </c>
      <c r="F418" s="1"/>
      <c r="G418" s="15"/>
      <c r="H418" s="14"/>
      <c r="I418" s="14"/>
      <c r="J418" s="14"/>
      <c r="K418" s="14"/>
      <c r="L418" s="14"/>
      <c r="M418" s="14"/>
      <c r="N418" s="14"/>
      <c r="O418" s="14"/>
      <c r="P418" s="14"/>
      <c r="Q418" s="14"/>
      <c r="R418" s="14"/>
      <c r="S418" s="14"/>
      <c r="T418" s="14"/>
      <c r="U418" s="14"/>
      <c r="V418" s="14"/>
      <c r="W418" s="2"/>
      <c r="X418" s="2"/>
    </row>
    <row r="419" spans="1:24" x14ac:dyDescent="0.2">
      <c r="A419" s="16" t="str">
        <f>$C$4&amp;"-"&amp;TEXT(COUNTA($E$15:E419),"00")</f>
        <v>TC-384</v>
      </c>
      <c r="B419" s="15" t="s">
        <v>1296</v>
      </c>
      <c r="C419" s="15" t="s">
        <v>1297</v>
      </c>
      <c r="D419" s="15" t="s">
        <v>1298</v>
      </c>
      <c r="E419" s="15" t="s">
        <v>1299</v>
      </c>
      <c r="F419" s="1"/>
      <c r="G419" s="15"/>
      <c r="H419" s="14"/>
      <c r="I419" s="14"/>
      <c r="J419" s="14"/>
      <c r="K419" s="14"/>
      <c r="L419" s="14"/>
      <c r="M419" s="14"/>
      <c r="N419" s="14"/>
      <c r="O419" s="14"/>
      <c r="P419" s="14"/>
      <c r="Q419" s="14"/>
      <c r="R419" s="14"/>
      <c r="S419" s="14"/>
      <c r="T419" s="14"/>
      <c r="U419" s="14"/>
      <c r="V419" s="14"/>
      <c r="W419" s="2"/>
      <c r="X419" s="2"/>
    </row>
    <row r="420" spans="1:24" x14ac:dyDescent="0.2">
      <c r="A420" s="16" t="str">
        <f>$C$4&amp;"-"&amp;TEXT(COUNTA($E$15:E420),"00")</f>
        <v>TC-385</v>
      </c>
      <c r="B420" s="15" t="s">
        <v>1300</v>
      </c>
      <c r="C420" s="15" t="s">
        <v>1301</v>
      </c>
      <c r="D420" s="15" t="s">
        <v>1302</v>
      </c>
      <c r="E420" s="15" t="s">
        <v>1303</v>
      </c>
      <c r="F420" s="1"/>
      <c r="G420" s="15"/>
      <c r="H420" s="14"/>
      <c r="I420" s="14"/>
      <c r="J420" s="14"/>
      <c r="K420" s="14"/>
      <c r="L420" s="14"/>
      <c r="M420" s="14"/>
      <c r="N420" s="14"/>
      <c r="O420" s="14"/>
      <c r="P420" s="14"/>
      <c r="Q420" s="14"/>
      <c r="R420" s="14"/>
      <c r="S420" s="14"/>
      <c r="T420" s="14"/>
      <c r="U420" s="14"/>
      <c r="V420" s="14"/>
      <c r="W420" s="2"/>
      <c r="X420" s="2"/>
    </row>
    <row r="421" spans="1:24" ht="31.5" x14ac:dyDescent="0.2">
      <c r="A421" s="16" t="str">
        <f>$C$4&amp;"-"&amp;TEXT(COUNTA($E$15:E421),"00")</f>
        <v>TC-386</v>
      </c>
      <c r="B421" s="37" t="s">
        <v>1304</v>
      </c>
      <c r="C421" s="15" t="s">
        <v>1305</v>
      </c>
      <c r="D421" s="15" t="s">
        <v>1306</v>
      </c>
      <c r="E421" s="15" t="s">
        <v>1307</v>
      </c>
      <c r="F421" s="1"/>
      <c r="G421" s="15"/>
      <c r="H421" s="14"/>
      <c r="I421" s="14"/>
      <c r="J421" s="14"/>
      <c r="K421" s="14"/>
      <c r="L421" s="14"/>
      <c r="M421" s="14"/>
      <c r="N421" s="14"/>
      <c r="O421" s="14"/>
      <c r="P421" s="14"/>
      <c r="Q421" s="14"/>
      <c r="R421" s="14"/>
      <c r="S421" s="14"/>
      <c r="T421" s="14"/>
      <c r="U421" s="14"/>
      <c r="V421" s="14"/>
      <c r="W421" s="2"/>
      <c r="X421" s="2"/>
    </row>
    <row r="422" spans="1:24" ht="31.5" x14ac:dyDescent="0.2">
      <c r="A422" s="16" t="str">
        <f>$C$4&amp;"-"&amp;TEXT(COUNTA($E$15:E422),"00")</f>
        <v>TC-387</v>
      </c>
      <c r="B422" s="32"/>
      <c r="C422" s="15" t="s">
        <v>1308</v>
      </c>
      <c r="D422" s="15" t="s">
        <v>1309</v>
      </c>
      <c r="E422" s="15" t="s">
        <v>1310</v>
      </c>
      <c r="F422" s="1"/>
      <c r="G422" s="15"/>
      <c r="H422" s="14"/>
      <c r="I422" s="14"/>
      <c r="J422" s="14"/>
      <c r="K422" s="14"/>
      <c r="L422" s="14"/>
      <c r="M422" s="14"/>
      <c r="N422" s="14"/>
      <c r="O422" s="14"/>
      <c r="P422" s="14"/>
      <c r="Q422" s="14"/>
      <c r="R422" s="14"/>
      <c r="S422" s="14"/>
      <c r="T422" s="14"/>
      <c r="U422" s="14"/>
      <c r="V422" s="14"/>
      <c r="W422" s="2"/>
      <c r="X422" s="2"/>
    </row>
    <row r="423" spans="1:24" x14ac:dyDescent="0.2">
      <c r="A423" s="33" t="s">
        <v>1311</v>
      </c>
      <c r="B423" s="34"/>
      <c r="C423" s="34"/>
      <c r="D423" s="34"/>
      <c r="E423" s="34"/>
      <c r="F423" s="35"/>
      <c r="G423" s="15"/>
      <c r="H423" s="14"/>
      <c r="I423" s="14"/>
      <c r="J423" s="14"/>
      <c r="K423" s="14"/>
      <c r="L423" s="14"/>
      <c r="M423" s="14"/>
      <c r="N423" s="14"/>
      <c r="O423" s="14"/>
      <c r="P423" s="14"/>
      <c r="Q423" s="14"/>
      <c r="R423" s="14"/>
      <c r="S423" s="14"/>
      <c r="T423" s="14"/>
      <c r="U423" s="14"/>
      <c r="V423" s="14"/>
      <c r="W423" s="2"/>
      <c r="X423" s="2"/>
    </row>
    <row r="424" spans="1:24" ht="31.5" x14ac:dyDescent="0.2">
      <c r="A424" s="16" t="str">
        <f>$C$4&amp;"-"&amp;TEXT(COUNTA($E$15:E424),"00")</f>
        <v>TC-388</v>
      </c>
      <c r="B424" s="37" t="s">
        <v>1312</v>
      </c>
      <c r="C424" s="15" t="s">
        <v>1313</v>
      </c>
      <c r="D424" s="15" t="s">
        <v>1314</v>
      </c>
      <c r="E424" s="15" t="s">
        <v>1315</v>
      </c>
      <c r="F424" s="1"/>
      <c r="G424" s="15"/>
      <c r="H424" s="14"/>
      <c r="I424" s="14"/>
      <c r="J424" s="14"/>
      <c r="K424" s="14"/>
      <c r="L424" s="14"/>
      <c r="M424" s="14"/>
      <c r="N424" s="14"/>
      <c r="O424" s="14"/>
      <c r="P424" s="14"/>
      <c r="Q424" s="14"/>
      <c r="R424" s="14"/>
      <c r="S424" s="14"/>
      <c r="T424" s="14"/>
      <c r="U424" s="14"/>
      <c r="V424" s="14"/>
      <c r="W424" s="2"/>
      <c r="X424" s="2"/>
    </row>
    <row r="425" spans="1:24" ht="31.5" x14ac:dyDescent="0.2">
      <c r="A425" s="16" t="str">
        <f>$C$4&amp;"-"&amp;TEXT(COUNTA($E$15:E425),"00")</f>
        <v>TC-389</v>
      </c>
      <c r="B425" s="32"/>
      <c r="C425" s="15" t="s">
        <v>1316</v>
      </c>
      <c r="D425" s="15" t="s">
        <v>1317</v>
      </c>
      <c r="E425" s="15" t="s">
        <v>1318</v>
      </c>
      <c r="F425" s="1"/>
      <c r="G425" s="15"/>
      <c r="H425" s="14"/>
      <c r="I425" s="14"/>
      <c r="J425" s="14"/>
      <c r="K425" s="14"/>
      <c r="L425" s="14"/>
      <c r="M425" s="14"/>
      <c r="N425" s="14"/>
      <c r="O425" s="14"/>
      <c r="P425" s="14"/>
      <c r="Q425" s="14"/>
      <c r="R425" s="14"/>
      <c r="S425" s="14"/>
      <c r="T425" s="14"/>
      <c r="U425" s="14"/>
      <c r="V425" s="14"/>
      <c r="W425" s="2"/>
      <c r="X425" s="2"/>
    </row>
    <row r="426" spans="1:24" ht="31.5" x14ac:dyDescent="0.2">
      <c r="A426" s="16" t="str">
        <f>$C$4&amp;"-"&amp;TEXT(COUNTA($E$15:E426),"00")</f>
        <v>TC-390</v>
      </c>
      <c r="B426" s="37" t="s">
        <v>1319</v>
      </c>
      <c r="C426" s="15" t="s">
        <v>1320</v>
      </c>
      <c r="D426" s="15" t="s">
        <v>1321</v>
      </c>
      <c r="E426" s="15" t="s">
        <v>1322</v>
      </c>
      <c r="F426" s="1"/>
      <c r="G426" s="15"/>
      <c r="H426" s="14"/>
      <c r="I426" s="14"/>
      <c r="J426" s="14"/>
      <c r="K426" s="14"/>
      <c r="L426" s="14"/>
      <c r="M426" s="14"/>
      <c r="N426" s="14"/>
      <c r="O426" s="14"/>
      <c r="P426" s="14"/>
      <c r="Q426" s="14"/>
      <c r="R426" s="14"/>
      <c r="S426" s="14"/>
      <c r="T426" s="14"/>
      <c r="U426" s="14"/>
      <c r="V426" s="14"/>
      <c r="W426" s="2"/>
      <c r="X426" s="2"/>
    </row>
    <row r="427" spans="1:24" ht="31.5" x14ac:dyDescent="0.2">
      <c r="A427" s="16" t="str">
        <f>$C$4&amp;"-"&amp;TEXT(COUNTA($E$15:E427),"00")</f>
        <v>TC-391</v>
      </c>
      <c r="B427" s="32"/>
      <c r="C427" s="15" t="s">
        <v>1323</v>
      </c>
      <c r="D427" s="15" t="s">
        <v>1324</v>
      </c>
      <c r="E427" s="15" t="s">
        <v>1325</v>
      </c>
      <c r="F427" s="1"/>
      <c r="G427" s="15"/>
      <c r="H427" s="14"/>
      <c r="I427" s="14"/>
      <c r="J427" s="14"/>
      <c r="K427" s="14"/>
      <c r="L427" s="14"/>
      <c r="M427" s="14"/>
      <c r="N427" s="14"/>
      <c r="O427" s="14"/>
      <c r="P427" s="14"/>
      <c r="Q427" s="14"/>
      <c r="R427" s="14"/>
      <c r="S427" s="14"/>
      <c r="T427" s="14"/>
      <c r="U427" s="14"/>
      <c r="V427" s="14"/>
      <c r="W427" s="2"/>
      <c r="X427" s="2"/>
    </row>
    <row r="428" spans="1:24" ht="63" x14ac:dyDescent="0.2">
      <c r="A428" s="16" t="str">
        <f>$C$4&amp;"-"&amp;TEXT(COUNTA($E$15:E428),"00")</f>
        <v>TC-392</v>
      </c>
      <c r="B428" s="37" t="s">
        <v>1326</v>
      </c>
      <c r="C428" s="15" t="s">
        <v>1327</v>
      </c>
      <c r="D428" s="15" t="s">
        <v>1328</v>
      </c>
      <c r="E428" s="15" t="s">
        <v>1329</v>
      </c>
      <c r="F428" s="1"/>
      <c r="G428" s="15"/>
      <c r="H428" s="14"/>
      <c r="I428" s="14"/>
      <c r="J428" s="14"/>
      <c r="K428" s="14"/>
      <c r="L428" s="14"/>
      <c r="M428" s="14"/>
      <c r="N428" s="14"/>
      <c r="O428" s="14"/>
      <c r="P428" s="14"/>
      <c r="Q428" s="14"/>
      <c r="R428" s="14"/>
      <c r="S428" s="14"/>
      <c r="T428" s="14"/>
      <c r="U428" s="14"/>
      <c r="V428" s="14"/>
      <c r="W428" s="2"/>
      <c r="X428" s="2"/>
    </row>
    <row r="429" spans="1:24" ht="63" x14ac:dyDescent="0.2">
      <c r="A429" s="16" t="str">
        <f>$C$4&amp;"-"&amp;TEXT(COUNTA($E$15:E429),"00")</f>
        <v>TC-393</v>
      </c>
      <c r="B429" s="32"/>
      <c r="C429" s="15" t="s">
        <v>1330</v>
      </c>
      <c r="D429" s="15" t="s">
        <v>1331</v>
      </c>
      <c r="E429" s="15" t="s">
        <v>1332</v>
      </c>
      <c r="F429" s="1"/>
      <c r="G429" s="15"/>
      <c r="H429" s="14"/>
      <c r="I429" s="14"/>
      <c r="J429" s="14"/>
      <c r="K429" s="14"/>
      <c r="L429" s="14"/>
      <c r="M429" s="14"/>
      <c r="N429" s="14"/>
      <c r="O429" s="14"/>
      <c r="P429" s="14"/>
      <c r="Q429" s="14"/>
      <c r="R429" s="14"/>
      <c r="S429" s="14"/>
      <c r="T429" s="14"/>
      <c r="U429" s="14"/>
      <c r="V429" s="14"/>
      <c r="W429" s="2"/>
      <c r="X429" s="2"/>
    </row>
    <row r="430" spans="1:24" ht="31.5" x14ac:dyDescent="0.2">
      <c r="A430" s="16" t="str">
        <f>$C$4&amp;"-"&amp;TEXT(COUNTA($E$15:E430),"00")</f>
        <v>TC-394</v>
      </c>
      <c r="B430" s="15" t="s">
        <v>1333</v>
      </c>
      <c r="C430" s="15" t="s">
        <v>1334</v>
      </c>
      <c r="D430" s="15" t="s">
        <v>1335</v>
      </c>
      <c r="E430" s="15" t="s">
        <v>1336</v>
      </c>
      <c r="F430" s="1"/>
      <c r="G430" s="15"/>
      <c r="H430" s="14"/>
      <c r="I430" s="14"/>
      <c r="J430" s="14"/>
      <c r="K430" s="14"/>
      <c r="L430" s="14"/>
      <c r="M430" s="14"/>
      <c r="N430" s="14"/>
      <c r="O430" s="14"/>
      <c r="P430" s="14"/>
      <c r="Q430" s="14"/>
      <c r="R430" s="14"/>
      <c r="S430" s="14"/>
      <c r="T430" s="14"/>
      <c r="U430" s="14"/>
      <c r="V430" s="14"/>
      <c r="W430" s="2"/>
      <c r="X430" s="2"/>
    </row>
    <row r="431" spans="1:24" ht="63" x14ac:dyDescent="0.2">
      <c r="A431" s="16" t="str">
        <f>$C$4&amp;"-"&amp;TEXT(COUNTA($E$15:E431),"00")</f>
        <v>TC-395</v>
      </c>
      <c r="B431" s="15" t="s">
        <v>1337</v>
      </c>
      <c r="C431" s="15" t="s">
        <v>1338</v>
      </c>
      <c r="D431" s="15" t="s">
        <v>1339</v>
      </c>
      <c r="E431" s="15" t="s">
        <v>1340</v>
      </c>
      <c r="F431" s="1"/>
      <c r="G431" s="15"/>
      <c r="H431" s="14"/>
      <c r="I431" s="14"/>
      <c r="J431" s="14"/>
      <c r="K431" s="14"/>
      <c r="L431" s="14"/>
      <c r="M431" s="14"/>
      <c r="N431" s="14"/>
      <c r="O431" s="14"/>
      <c r="P431" s="14"/>
      <c r="Q431" s="14"/>
      <c r="R431" s="14"/>
      <c r="S431" s="14"/>
      <c r="T431" s="14"/>
      <c r="U431" s="14"/>
      <c r="V431" s="14"/>
      <c r="W431" s="2"/>
      <c r="X431" s="2"/>
    </row>
    <row r="432" spans="1:24" ht="31.5" x14ac:dyDescent="0.2">
      <c r="A432" s="16" t="str">
        <f>$C$4&amp;"-"&amp;TEXT(COUNTA($E$15:E432),"00")</f>
        <v>TC-396</v>
      </c>
      <c r="B432" s="37" t="s">
        <v>1341</v>
      </c>
      <c r="C432" s="15" t="s">
        <v>1342</v>
      </c>
      <c r="D432" s="15" t="s">
        <v>1343</v>
      </c>
      <c r="E432" s="15" t="s">
        <v>1344</v>
      </c>
      <c r="F432" s="1"/>
      <c r="G432" s="15"/>
      <c r="H432" s="14"/>
      <c r="I432" s="14"/>
      <c r="J432" s="14"/>
      <c r="K432" s="14"/>
      <c r="L432" s="14"/>
      <c r="M432" s="14"/>
      <c r="N432" s="14"/>
      <c r="O432" s="14"/>
      <c r="P432" s="14"/>
      <c r="Q432" s="14"/>
      <c r="R432" s="14"/>
      <c r="S432" s="14"/>
      <c r="T432" s="14"/>
      <c r="U432" s="14"/>
      <c r="V432" s="14"/>
      <c r="W432" s="2"/>
      <c r="X432" s="2"/>
    </row>
    <row r="433" spans="1:24" ht="31.5" x14ac:dyDescent="0.2">
      <c r="A433" s="16" t="str">
        <f>$C$4&amp;"-"&amp;TEXT(COUNTA($E$15:E433),"00")</f>
        <v>TC-397</v>
      </c>
      <c r="B433" s="32"/>
      <c r="C433" s="15" t="s">
        <v>1345</v>
      </c>
      <c r="D433" s="15" t="s">
        <v>1346</v>
      </c>
      <c r="E433" s="15" t="s">
        <v>1347</v>
      </c>
      <c r="F433" s="1"/>
      <c r="G433" s="15"/>
      <c r="H433" s="14"/>
      <c r="I433" s="14"/>
      <c r="J433" s="14"/>
      <c r="K433" s="14"/>
      <c r="L433" s="14"/>
      <c r="M433" s="14"/>
      <c r="N433" s="14"/>
      <c r="O433" s="14"/>
      <c r="P433" s="14"/>
      <c r="Q433" s="14"/>
      <c r="R433" s="14"/>
      <c r="S433" s="14"/>
      <c r="T433" s="14"/>
      <c r="U433" s="14"/>
      <c r="V433" s="14"/>
      <c r="W433" s="2"/>
      <c r="X433" s="2"/>
    </row>
    <row r="434" spans="1:24" x14ac:dyDescent="0.2">
      <c r="A434" s="33" t="s">
        <v>1348</v>
      </c>
      <c r="B434" s="34"/>
      <c r="C434" s="34"/>
      <c r="D434" s="34"/>
      <c r="E434" s="34"/>
      <c r="F434" s="35"/>
      <c r="G434" s="15"/>
      <c r="H434" s="14"/>
      <c r="I434" s="14"/>
      <c r="J434" s="14"/>
      <c r="K434" s="14"/>
      <c r="L434" s="14"/>
      <c r="M434" s="14"/>
      <c r="N434" s="14"/>
      <c r="O434" s="14"/>
      <c r="P434" s="14"/>
      <c r="Q434" s="14"/>
      <c r="R434" s="14"/>
      <c r="S434" s="14"/>
      <c r="T434" s="14"/>
      <c r="U434" s="14"/>
      <c r="V434" s="14"/>
      <c r="W434" s="2"/>
      <c r="X434" s="2"/>
    </row>
    <row r="435" spans="1:24" x14ac:dyDescent="0.2">
      <c r="A435" s="16" t="str">
        <f>$C$4&amp;"-"&amp;TEXT(COUNTA($E$15:E435),"00")</f>
        <v>TC-398</v>
      </c>
      <c r="B435" s="15" t="s">
        <v>115</v>
      </c>
      <c r="C435" s="15" t="s">
        <v>1349</v>
      </c>
      <c r="D435" s="15" t="s">
        <v>1350</v>
      </c>
      <c r="E435" s="15" t="s">
        <v>1351</v>
      </c>
      <c r="F435" s="1"/>
      <c r="G435" s="15"/>
      <c r="H435" s="14"/>
      <c r="I435" s="14"/>
      <c r="J435" s="14"/>
      <c r="K435" s="14"/>
      <c r="L435" s="14"/>
      <c r="M435" s="14"/>
      <c r="N435" s="14"/>
      <c r="O435" s="14"/>
      <c r="P435" s="14"/>
      <c r="Q435" s="14"/>
      <c r="R435" s="14"/>
      <c r="S435" s="14"/>
      <c r="T435" s="14"/>
      <c r="U435" s="14"/>
      <c r="V435" s="14"/>
      <c r="W435" s="2"/>
      <c r="X435" s="2"/>
    </row>
    <row r="436" spans="1:24" ht="31.5" x14ac:dyDescent="0.2">
      <c r="A436" s="16" t="str">
        <f>$C$4&amp;"-"&amp;TEXT(COUNTA($E$15:E436),"00")</f>
        <v>TC-399</v>
      </c>
      <c r="B436" s="37" t="s">
        <v>1352</v>
      </c>
      <c r="C436" s="15" t="s">
        <v>1353</v>
      </c>
      <c r="D436" s="15" t="s">
        <v>1354</v>
      </c>
      <c r="E436" s="15" t="s">
        <v>1355</v>
      </c>
      <c r="F436" s="1"/>
      <c r="G436" s="15"/>
      <c r="H436" s="14"/>
      <c r="I436" s="14"/>
      <c r="J436" s="14"/>
      <c r="K436" s="14"/>
      <c r="L436" s="14"/>
      <c r="M436" s="14"/>
      <c r="N436" s="14"/>
      <c r="O436" s="14"/>
      <c r="P436" s="14"/>
      <c r="Q436" s="14"/>
      <c r="R436" s="14"/>
      <c r="S436" s="14"/>
      <c r="T436" s="14"/>
      <c r="U436" s="14"/>
      <c r="V436" s="14"/>
      <c r="W436" s="2"/>
      <c r="X436" s="2"/>
    </row>
    <row r="437" spans="1:24" ht="31.5" x14ac:dyDescent="0.2">
      <c r="A437" s="16" t="str">
        <f>$C$4&amp;"-"&amp;TEXT(COUNTA($E$15:E437),"00")</f>
        <v>TC-400</v>
      </c>
      <c r="B437" s="32"/>
      <c r="C437" s="15" t="s">
        <v>1356</v>
      </c>
      <c r="D437" s="15" t="s">
        <v>1101</v>
      </c>
      <c r="E437" s="15" t="s">
        <v>1357</v>
      </c>
      <c r="F437" s="1"/>
      <c r="G437" s="15"/>
      <c r="H437" s="14"/>
      <c r="I437" s="14"/>
      <c r="J437" s="14"/>
      <c r="K437" s="14"/>
      <c r="L437" s="14"/>
      <c r="M437" s="14"/>
      <c r="N437" s="14"/>
      <c r="O437" s="14"/>
      <c r="P437" s="14"/>
      <c r="Q437" s="14"/>
      <c r="R437" s="14"/>
      <c r="S437" s="14"/>
      <c r="T437" s="14"/>
      <c r="U437" s="14"/>
      <c r="V437" s="14"/>
      <c r="W437" s="2"/>
      <c r="X437" s="2"/>
    </row>
    <row r="438" spans="1:24" x14ac:dyDescent="0.2">
      <c r="A438" s="16" t="str">
        <f>$C$4&amp;"-"&amp;TEXT(COUNTA($E$15:E438),"00")</f>
        <v>TC-401</v>
      </c>
      <c r="B438" s="15" t="s">
        <v>1358</v>
      </c>
      <c r="C438" s="15" t="s">
        <v>1359</v>
      </c>
      <c r="D438" s="15" t="s">
        <v>1360</v>
      </c>
      <c r="E438" s="15" t="s">
        <v>1361</v>
      </c>
      <c r="F438" s="1"/>
      <c r="G438" s="15"/>
      <c r="H438" s="14"/>
      <c r="I438" s="14"/>
      <c r="J438" s="14"/>
      <c r="K438" s="14"/>
      <c r="L438" s="14"/>
      <c r="M438" s="14"/>
      <c r="N438" s="14"/>
      <c r="O438" s="14"/>
      <c r="P438" s="14"/>
      <c r="Q438" s="14"/>
      <c r="R438" s="14"/>
      <c r="S438" s="14"/>
      <c r="T438" s="14"/>
      <c r="U438" s="14"/>
      <c r="V438" s="14"/>
      <c r="W438" s="2"/>
      <c r="X438" s="2"/>
    </row>
    <row r="439" spans="1:24" x14ac:dyDescent="0.2">
      <c r="A439" s="16" t="str">
        <f>$C$4&amp;"-"&amp;TEXT(COUNTA($E$15:E439),"00")</f>
        <v>TC-402</v>
      </c>
      <c r="B439" s="15" t="s">
        <v>1362</v>
      </c>
      <c r="C439" s="15" t="s">
        <v>1363</v>
      </c>
      <c r="D439" s="15" t="s">
        <v>1364</v>
      </c>
      <c r="E439" s="15" t="s">
        <v>1365</v>
      </c>
      <c r="F439" s="1"/>
      <c r="G439" s="15"/>
      <c r="H439" s="14"/>
      <c r="I439" s="14"/>
      <c r="J439" s="14"/>
      <c r="K439" s="14"/>
      <c r="L439" s="14"/>
      <c r="M439" s="14"/>
      <c r="N439" s="14"/>
      <c r="O439" s="14"/>
      <c r="P439" s="14"/>
      <c r="Q439" s="14"/>
      <c r="R439" s="14"/>
      <c r="S439" s="14"/>
      <c r="T439" s="14"/>
      <c r="U439" s="14"/>
      <c r="V439" s="14"/>
      <c r="W439" s="2"/>
      <c r="X439" s="2"/>
    </row>
    <row r="440" spans="1:24" x14ac:dyDescent="0.2">
      <c r="A440" s="16" t="str">
        <f>$C$4&amp;"-"&amp;TEXT(COUNTA($E$15:E440),"00")</f>
        <v>TC-403</v>
      </c>
      <c r="B440" s="37" t="s">
        <v>1366</v>
      </c>
      <c r="C440" s="15" t="s">
        <v>1367</v>
      </c>
      <c r="D440" s="15" t="s">
        <v>1368</v>
      </c>
      <c r="E440" s="15" t="s">
        <v>1369</v>
      </c>
      <c r="F440" s="1"/>
      <c r="G440" s="15"/>
      <c r="H440" s="14"/>
      <c r="I440" s="14"/>
      <c r="J440" s="14"/>
      <c r="K440" s="14"/>
      <c r="L440" s="14"/>
      <c r="M440" s="14"/>
      <c r="N440" s="14"/>
      <c r="O440" s="14"/>
      <c r="P440" s="14"/>
      <c r="Q440" s="14"/>
      <c r="R440" s="14"/>
      <c r="S440" s="14"/>
      <c r="T440" s="14"/>
      <c r="U440" s="14"/>
      <c r="V440" s="14"/>
      <c r="W440" s="2"/>
      <c r="X440" s="2"/>
    </row>
    <row r="441" spans="1:24" ht="47.25" x14ac:dyDescent="0.2">
      <c r="A441" s="16" t="str">
        <f>$C$4&amp;"-"&amp;TEXT(COUNTA($E$15:E441),"00")</f>
        <v>TC-404</v>
      </c>
      <c r="B441" s="32"/>
      <c r="C441" s="15" t="s">
        <v>1370</v>
      </c>
      <c r="D441" s="15" t="s">
        <v>1371</v>
      </c>
      <c r="E441" s="15" t="s">
        <v>1372</v>
      </c>
      <c r="F441" s="1"/>
      <c r="G441" s="20" t="s">
        <v>1373</v>
      </c>
      <c r="H441" s="14"/>
      <c r="I441" s="14"/>
      <c r="J441" s="14"/>
      <c r="K441" s="14"/>
      <c r="L441" s="14"/>
      <c r="M441" s="14"/>
      <c r="N441" s="14"/>
      <c r="O441" s="14"/>
      <c r="P441" s="14"/>
      <c r="Q441" s="14"/>
      <c r="R441" s="14"/>
      <c r="S441" s="14"/>
      <c r="T441" s="14"/>
      <c r="U441" s="14"/>
      <c r="V441" s="14"/>
      <c r="W441" s="2"/>
      <c r="X441" s="2"/>
    </row>
    <row r="442" spans="1:24" x14ac:dyDescent="0.2">
      <c r="A442" s="16" t="str">
        <f>$C$4&amp;"-"&amp;TEXT(COUNTA($E$15:E442),"00")</f>
        <v>TC-405</v>
      </c>
      <c r="B442" s="15" t="s">
        <v>1374</v>
      </c>
      <c r="C442" s="15" t="s">
        <v>1375</v>
      </c>
      <c r="D442" s="15" t="s">
        <v>1376</v>
      </c>
      <c r="E442" s="15" t="s">
        <v>1377</v>
      </c>
      <c r="F442" s="1"/>
      <c r="G442" s="15"/>
      <c r="H442" s="14"/>
      <c r="I442" s="14"/>
      <c r="J442" s="14"/>
      <c r="K442" s="14"/>
      <c r="L442" s="14"/>
      <c r="M442" s="14"/>
      <c r="N442" s="14"/>
      <c r="O442" s="14"/>
      <c r="P442" s="14"/>
      <c r="Q442" s="14"/>
      <c r="R442" s="14"/>
      <c r="S442" s="14"/>
      <c r="T442" s="14"/>
      <c r="U442" s="14"/>
      <c r="V442" s="14"/>
      <c r="W442" s="2"/>
      <c r="X442" s="2"/>
    </row>
    <row r="443" spans="1:24" ht="31.5" x14ac:dyDescent="0.2">
      <c r="A443" s="16" t="str">
        <f>$C$4&amp;"-"&amp;TEXT(COUNTA($E$15:E443),"00")</f>
        <v>TC-406</v>
      </c>
      <c r="B443" s="37" t="s">
        <v>1378</v>
      </c>
      <c r="C443" s="15" t="s">
        <v>1379</v>
      </c>
      <c r="D443" s="15" t="s">
        <v>1380</v>
      </c>
      <c r="E443" s="15" t="s">
        <v>1381</v>
      </c>
      <c r="F443" s="1"/>
      <c r="G443" s="15"/>
      <c r="H443" s="14"/>
      <c r="I443" s="14"/>
      <c r="J443" s="14"/>
      <c r="K443" s="14"/>
      <c r="L443" s="14"/>
      <c r="M443" s="14"/>
      <c r="N443" s="14"/>
      <c r="O443" s="14"/>
      <c r="P443" s="14"/>
      <c r="Q443" s="14"/>
      <c r="R443" s="14"/>
      <c r="S443" s="14"/>
      <c r="T443" s="14"/>
      <c r="U443" s="14"/>
      <c r="V443" s="14"/>
      <c r="W443" s="2"/>
      <c r="X443" s="2"/>
    </row>
    <row r="444" spans="1:24" ht="31.5" x14ac:dyDescent="0.2">
      <c r="A444" s="16" t="str">
        <f>$C$4&amp;"-"&amp;TEXT(COUNTA($E$15:E444),"00")</f>
        <v>TC-407</v>
      </c>
      <c r="B444" s="31"/>
      <c r="C444" s="15" t="s">
        <v>1382</v>
      </c>
      <c r="D444" s="15" t="s">
        <v>1383</v>
      </c>
      <c r="E444" s="15" t="s">
        <v>1384</v>
      </c>
      <c r="F444" s="1"/>
      <c r="G444" s="15"/>
      <c r="H444" s="14"/>
      <c r="I444" s="14"/>
      <c r="J444" s="14"/>
      <c r="K444" s="14"/>
      <c r="L444" s="14"/>
      <c r="M444" s="14"/>
      <c r="N444" s="14"/>
      <c r="O444" s="14"/>
      <c r="P444" s="14"/>
      <c r="Q444" s="14"/>
      <c r="R444" s="14"/>
      <c r="S444" s="14"/>
      <c r="T444" s="14"/>
      <c r="U444" s="14"/>
      <c r="V444" s="14"/>
      <c r="W444" s="2"/>
      <c r="X444" s="2"/>
    </row>
    <row r="445" spans="1:24" ht="31.5" x14ac:dyDescent="0.2">
      <c r="A445" s="16" t="str">
        <f>$C$4&amp;"-"&amp;TEXT(COUNTA($E$15:E445),"00")</f>
        <v>TC-408</v>
      </c>
      <c r="B445" s="31"/>
      <c r="C445" s="15" t="s">
        <v>1128</v>
      </c>
      <c r="D445" s="15" t="s">
        <v>1385</v>
      </c>
      <c r="E445" s="15" t="s">
        <v>1386</v>
      </c>
      <c r="F445" s="1"/>
      <c r="G445" s="15"/>
      <c r="H445" s="14"/>
      <c r="I445" s="14"/>
      <c r="J445" s="14"/>
      <c r="K445" s="14"/>
      <c r="L445" s="14"/>
      <c r="M445" s="14"/>
      <c r="N445" s="14"/>
      <c r="O445" s="14"/>
      <c r="P445" s="14"/>
      <c r="Q445" s="14"/>
      <c r="R445" s="14"/>
      <c r="S445" s="14"/>
      <c r="T445" s="14"/>
      <c r="U445" s="14"/>
      <c r="V445" s="14"/>
      <c r="W445" s="2"/>
      <c r="X445" s="2"/>
    </row>
    <row r="446" spans="1:24" ht="31.5" x14ac:dyDescent="0.2">
      <c r="A446" s="16" t="str">
        <f>$C$4&amp;"-"&amp;TEXT(COUNTA($E$15:E446),"00")</f>
        <v>TC-409</v>
      </c>
      <c r="B446" s="32"/>
      <c r="C446" s="15" t="s">
        <v>1387</v>
      </c>
      <c r="D446" s="15" t="s">
        <v>1388</v>
      </c>
      <c r="E446" s="15" t="s">
        <v>1114</v>
      </c>
      <c r="F446" s="1"/>
      <c r="G446" s="15"/>
      <c r="H446" s="14"/>
      <c r="I446" s="14"/>
      <c r="J446" s="14"/>
      <c r="K446" s="14"/>
      <c r="L446" s="14"/>
      <c r="M446" s="14"/>
      <c r="N446" s="14"/>
      <c r="O446" s="14"/>
      <c r="P446" s="14"/>
      <c r="Q446" s="14"/>
      <c r="R446" s="14"/>
      <c r="S446" s="14"/>
      <c r="T446" s="14"/>
      <c r="U446" s="14"/>
      <c r="V446" s="14"/>
      <c r="W446" s="2"/>
      <c r="X446" s="2"/>
    </row>
    <row r="447" spans="1:24" ht="31.5" x14ac:dyDescent="0.2">
      <c r="A447" s="16" t="str">
        <f>$C$4&amp;"-"&amp;TEXT(COUNTA($E$15:E447),"00")</f>
        <v>TC-410</v>
      </c>
      <c r="B447" s="37" t="s">
        <v>1389</v>
      </c>
      <c r="C447" s="15" t="s">
        <v>1390</v>
      </c>
      <c r="D447" s="15" t="s">
        <v>1391</v>
      </c>
      <c r="E447" s="15" t="s">
        <v>1392</v>
      </c>
      <c r="F447" s="1"/>
      <c r="G447" s="15"/>
      <c r="H447" s="14"/>
      <c r="I447" s="14"/>
      <c r="J447" s="14"/>
      <c r="K447" s="14"/>
      <c r="L447" s="14"/>
      <c r="M447" s="14"/>
      <c r="N447" s="14"/>
      <c r="O447" s="14"/>
      <c r="P447" s="14"/>
      <c r="Q447" s="14"/>
      <c r="R447" s="14"/>
      <c r="S447" s="14"/>
      <c r="T447" s="14"/>
      <c r="U447" s="14"/>
      <c r="V447" s="14"/>
      <c r="W447" s="2"/>
      <c r="X447" s="2"/>
    </row>
    <row r="448" spans="1:24" ht="31.5" x14ac:dyDescent="0.2">
      <c r="A448" s="16" t="str">
        <f>$C$4&amp;"-"&amp;TEXT(COUNTA($E$15:E448),"00")</f>
        <v>TC-411</v>
      </c>
      <c r="B448" s="31"/>
      <c r="C448" s="15" t="s">
        <v>1393</v>
      </c>
      <c r="D448" s="15" t="s">
        <v>1394</v>
      </c>
      <c r="E448" s="15" t="s">
        <v>1395</v>
      </c>
      <c r="F448" s="1"/>
      <c r="G448" s="15"/>
      <c r="H448" s="14"/>
      <c r="I448" s="14"/>
      <c r="J448" s="14"/>
      <c r="K448" s="14"/>
      <c r="L448" s="14"/>
      <c r="M448" s="14"/>
      <c r="N448" s="14"/>
      <c r="O448" s="14"/>
      <c r="P448" s="14"/>
      <c r="Q448" s="14"/>
      <c r="R448" s="14"/>
      <c r="S448" s="14"/>
      <c r="T448" s="14"/>
      <c r="U448" s="14"/>
      <c r="V448" s="14"/>
      <c r="W448" s="2"/>
      <c r="X448" s="2"/>
    </row>
    <row r="449" spans="1:24" ht="31.5" x14ac:dyDescent="0.2">
      <c r="A449" s="16" t="str">
        <f>$C$4&amp;"-"&amp;TEXT(COUNTA($E$15:E449),"00")</f>
        <v>TC-412</v>
      </c>
      <c r="B449" s="32"/>
      <c r="C449" s="15" t="s">
        <v>1396</v>
      </c>
      <c r="D449" s="15" t="s">
        <v>1397</v>
      </c>
      <c r="E449" s="15" t="s">
        <v>1398</v>
      </c>
      <c r="F449" s="1"/>
      <c r="G449" s="15"/>
      <c r="H449" s="14"/>
      <c r="I449" s="14"/>
      <c r="J449" s="14"/>
      <c r="K449" s="14"/>
      <c r="L449" s="14"/>
      <c r="M449" s="14"/>
      <c r="N449" s="14"/>
      <c r="O449" s="14"/>
      <c r="P449" s="14"/>
      <c r="Q449" s="14"/>
      <c r="R449" s="14"/>
      <c r="S449" s="14"/>
      <c r="T449" s="14"/>
      <c r="U449" s="14"/>
      <c r="V449" s="14"/>
      <c r="W449" s="2"/>
      <c r="X449" s="2"/>
    </row>
    <row r="450" spans="1:24" ht="31.5" x14ac:dyDescent="0.2">
      <c r="A450" s="16" t="str">
        <f>$C$4&amp;"-"&amp;TEXT(COUNTA($E$15:E450),"00")</f>
        <v>TC-413</v>
      </c>
      <c r="B450" s="37" t="s">
        <v>1399</v>
      </c>
      <c r="C450" s="15" t="s">
        <v>1400</v>
      </c>
      <c r="D450" s="15" t="s">
        <v>1401</v>
      </c>
      <c r="E450" s="15" t="s">
        <v>1402</v>
      </c>
      <c r="F450" s="1"/>
      <c r="G450" s="15"/>
      <c r="H450" s="14"/>
      <c r="I450" s="14"/>
      <c r="J450" s="14"/>
      <c r="K450" s="14"/>
      <c r="L450" s="14"/>
      <c r="M450" s="14"/>
      <c r="N450" s="14"/>
      <c r="O450" s="14"/>
      <c r="P450" s="14"/>
      <c r="Q450" s="14"/>
      <c r="R450" s="14"/>
      <c r="S450" s="14"/>
      <c r="T450" s="14"/>
      <c r="U450" s="14"/>
      <c r="V450" s="14"/>
      <c r="W450" s="2"/>
      <c r="X450" s="2"/>
    </row>
    <row r="451" spans="1:24" ht="31.5" x14ac:dyDescent="0.2">
      <c r="A451" s="16" t="str">
        <f>$C$4&amp;"-"&amp;TEXT(COUNTA($E$15:E451),"00")</f>
        <v>TC-414</v>
      </c>
      <c r="B451" s="32"/>
      <c r="C451" s="15" t="s">
        <v>1403</v>
      </c>
      <c r="D451" s="15" t="s">
        <v>1404</v>
      </c>
      <c r="E451" s="15" t="s">
        <v>1405</v>
      </c>
      <c r="F451" s="1"/>
      <c r="G451" s="15"/>
      <c r="H451" s="14"/>
      <c r="I451" s="14"/>
      <c r="J451" s="14"/>
      <c r="K451" s="14"/>
      <c r="L451" s="14"/>
      <c r="M451" s="14"/>
      <c r="N451" s="14"/>
      <c r="O451" s="14"/>
      <c r="P451" s="14"/>
      <c r="Q451" s="14"/>
      <c r="R451" s="14"/>
      <c r="S451" s="14"/>
      <c r="T451" s="14"/>
      <c r="U451" s="14"/>
      <c r="V451" s="14"/>
      <c r="W451" s="2"/>
      <c r="X451" s="2"/>
    </row>
    <row r="452" spans="1:24" x14ac:dyDescent="0.2">
      <c r="A452" s="33" t="s">
        <v>781</v>
      </c>
      <c r="B452" s="34"/>
      <c r="C452" s="34"/>
      <c r="D452" s="34"/>
      <c r="E452" s="34"/>
      <c r="F452" s="35"/>
      <c r="G452" s="15"/>
      <c r="H452" s="14"/>
      <c r="I452" s="14"/>
      <c r="J452" s="14"/>
      <c r="K452" s="14"/>
      <c r="L452" s="14"/>
      <c r="M452" s="14"/>
      <c r="N452" s="14"/>
      <c r="O452" s="14"/>
      <c r="P452" s="14"/>
      <c r="Q452" s="14"/>
      <c r="R452" s="14"/>
      <c r="S452" s="14"/>
      <c r="T452" s="14"/>
      <c r="U452" s="14"/>
      <c r="V452" s="14"/>
      <c r="W452" s="2"/>
      <c r="X452" s="2"/>
    </row>
    <row r="453" spans="1:24" ht="31.5" x14ac:dyDescent="0.2">
      <c r="A453" s="16" t="str">
        <f>$C$4&amp;"-"&amp;TEXT(COUNTA($E$15:E453),"00")</f>
        <v>TC-415</v>
      </c>
      <c r="B453" s="15" t="s">
        <v>782</v>
      </c>
      <c r="C453" s="15" t="s">
        <v>1406</v>
      </c>
      <c r="D453" s="15" t="s">
        <v>1407</v>
      </c>
      <c r="E453" s="15" t="s">
        <v>1408</v>
      </c>
      <c r="F453" s="1"/>
      <c r="G453" s="15"/>
      <c r="H453" s="14"/>
      <c r="I453" s="14"/>
      <c r="J453" s="14"/>
      <c r="K453" s="14"/>
      <c r="L453" s="14"/>
      <c r="M453" s="14"/>
      <c r="N453" s="14"/>
      <c r="O453" s="14"/>
      <c r="P453" s="14"/>
      <c r="Q453" s="14"/>
      <c r="R453" s="14"/>
      <c r="S453" s="14"/>
      <c r="T453" s="14"/>
      <c r="U453" s="14"/>
      <c r="V453" s="14"/>
      <c r="W453" s="2"/>
      <c r="X453" s="2"/>
    </row>
    <row r="454" spans="1:24" ht="31.5" x14ac:dyDescent="0.2">
      <c r="A454" s="16" t="str">
        <f>$C$4&amp;"-"&amp;TEXT(COUNTA($E$15:E454),"00")</f>
        <v>TC-416</v>
      </c>
      <c r="B454" s="15" t="s">
        <v>789</v>
      </c>
      <c r="C454" s="15" t="s">
        <v>1409</v>
      </c>
      <c r="D454" s="15" t="s">
        <v>1410</v>
      </c>
      <c r="E454" s="15" t="s">
        <v>1187</v>
      </c>
      <c r="F454" s="1"/>
      <c r="G454" s="15"/>
      <c r="H454" s="14"/>
      <c r="I454" s="14"/>
      <c r="J454" s="14"/>
      <c r="K454" s="14"/>
      <c r="L454" s="14"/>
      <c r="M454" s="14"/>
      <c r="N454" s="14"/>
      <c r="O454" s="14"/>
      <c r="P454" s="14"/>
      <c r="Q454" s="14"/>
      <c r="R454" s="14"/>
      <c r="S454" s="14"/>
      <c r="T454" s="14"/>
      <c r="U454" s="14"/>
      <c r="V454" s="14"/>
      <c r="W454" s="2"/>
      <c r="X454" s="2"/>
    </row>
    <row r="455" spans="1:24" ht="63" x14ac:dyDescent="0.2">
      <c r="A455" s="16" t="str">
        <f>$C$4&amp;"-"&amp;TEXT(COUNTA($E$15:E455),"00")</f>
        <v>TC-417</v>
      </c>
      <c r="B455" s="15" t="s">
        <v>1411</v>
      </c>
      <c r="C455" s="15" t="s">
        <v>1412</v>
      </c>
      <c r="D455" s="15" t="s">
        <v>1413</v>
      </c>
      <c r="E455" s="15" t="s">
        <v>1414</v>
      </c>
      <c r="F455" s="1"/>
      <c r="G455" s="15"/>
      <c r="H455" s="14"/>
      <c r="I455" s="14"/>
      <c r="J455" s="14"/>
      <c r="K455" s="14"/>
      <c r="L455" s="14"/>
      <c r="M455" s="14"/>
      <c r="N455" s="14"/>
      <c r="O455" s="14"/>
      <c r="P455" s="14"/>
      <c r="Q455" s="14"/>
      <c r="R455" s="14"/>
      <c r="S455" s="14"/>
      <c r="T455" s="14"/>
      <c r="U455" s="14"/>
      <c r="V455" s="14"/>
      <c r="W455" s="2"/>
      <c r="X455" s="2"/>
    </row>
    <row r="456" spans="1:24" ht="47.25" x14ac:dyDescent="0.2">
      <c r="A456" s="16" t="str">
        <f>$C$4&amp;"-"&amp;TEXT(COUNTA($E$15:E456),"00")</f>
        <v>TC-418</v>
      </c>
      <c r="B456" s="15" t="s">
        <v>797</v>
      </c>
      <c r="C456" s="15" t="s">
        <v>1415</v>
      </c>
      <c r="D456" s="15" t="s">
        <v>1416</v>
      </c>
      <c r="E456" s="15" t="s">
        <v>1417</v>
      </c>
      <c r="F456" s="1"/>
      <c r="G456" s="15"/>
      <c r="H456" s="14"/>
      <c r="I456" s="14"/>
      <c r="J456" s="14"/>
      <c r="K456" s="14"/>
      <c r="L456" s="14"/>
      <c r="M456" s="14"/>
      <c r="N456" s="14"/>
      <c r="O456" s="14"/>
      <c r="P456" s="14"/>
      <c r="Q456" s="14"/>
      <c r="R456" s="14"/>
      <c r="S456" s="14"/>
      <c r="T456" s="14"/>
      <c r="U456" s="14"/>
      <c r="V456" s="14"/>
      <c r="W456" s="2"/>
      <c r="X456" s="2"/>
    </row>
    <row r="457" spans="1:24" ht="47.25" x14ac:dyDescent="0.2">
      <c r="A457" s="16" t="str">
        <f>$C$4&amp;"-"&amp;TEXT(COUNTA($E$15:E457),"00")</f>
        <v>TC-419</v>
      </c>
      <c r="B457" s="15" t="s">
        <v>793</v>
      </c>
      <c r="C457" s="15" t="s">
        <v>1418</v>
      </c>
      <c r="D457" s="15" t="s">
        <v>1419</v>
      </c>
      <c r="E457" s="15" t="s">
        <v>1420</v>
      </c>
      <c r="F457" s="1"/>
      <c r="G457" s="15"/>
      <c r="H457" s="14"/>
      <c r="I457" s="14"/>
      <c r="J457" s="14"/>
      <c r="K457" s="14"/>
      <c r="L457" s="14"/>
      <c r="M457" s="14"/>
      <c r="N457" s="14"/>
      <c r="O457" s="14"/>
      <c r="P457" s="14"/>
      <c r="Q457" s="14"/>
      <c r="R457" s="14"/>
      <c r="S457" s="14"/>
      <c r="T457" s="14"/>
      <c r="U457" s="14"/>
      <c r="V457" s="14"/>
      <c r="W457" s="2"/>
      <c r="X457" s="2"/>
    </row>
    <row r="458" spans="1:24" x14ac:dyDescent="0.2">
      <c r="A458" s="51" t="s">
        <v>1421</v>
      </c>
      <c r="B458" s="34"/>
      <c r="C458" s="35"/>
      <c r="D458" s="13"/>
      <c r="E458" s="13"/>
      <c r="F458" s="13"/>
      <c r="G458" s="13"/>
      <c r="H458" s="2"/>
      <c r="I458" s="2"/>
      <c r="J458" s="2"/>
      <c r="K458" s="2"/>
      <c r="L458" s="2"/>
      <c r="M458" s="2"/>
      <c r="N458" s="2"/>
      <c r="O458" s="2"/>
      <c r="P458" s="2"/>
      <c r="Q458" s="2"/>
      <c r="R458" s="2"/>
      <c r="S458" s="2"/>
      <c r="T458" s="2"/>
      <c r="U458" s="2"/>
      <c r="V458" s="2"/>
      <c r="W458" s="2"/>
      <c r="X458" s="2"/>
    </row>
    <row r="459" spans="1:24" ht="12.75" x14ac:dyDescent="0.2">
      <c r="A459" s="48" t="s">
        <v>1422</v>
      </c>
      <c r="B459" s="34"/>
      <c r="C459" s="34"/>
      <c r="D459" s="34"/>
      <c r="E459" s="34"/>
      <c r="F459" s="34"/>
      <c r="G459" s="35"/>
      <c r="H459" s="2"/>
      <c r="I459" s="2"/>
      <c r="J459" s="2"/>
      <c r="K459" s="2"/>
      <c r="L459" s="2"/>
      <c r="M459" s="2"/>
      <c r="N459" s="2"/>
      <c r="O459" s="2"/>
      <c r="P459" s="2"/>
      <c r="Q459" s="2"/>
      <c r="R459" s="2"/>
      <c r="S459" s="2"/>
      <c r="T459" s="2"/>
      <c r="U459" s="2"/>
      <c r="V459" s="2"/>
      <c r="W459" s="2"/>
      <c r="X459" s="2"/>
    </row>
    <row r="460" spans="1:24" x14ac:dyDescent="0.2">
      <c r="A460" s="33" t="s">
        <v>1423</v>
      </c>
      <c r="B460" s="34"/>
      <c r="C460" s="34"/>
      <c r="D460" s="34"/>
      <c r="E460" s="34"/>
      <c r="F460" s="35"/>
      <c r="G460" s="15"/>
      <c r="H460" s="2"/>
      <c r="I460" s="2"/>
      <c r="J460" s="2"/>
      <c r="K460" s="2"/>
      <c r="L460" s="2"/>
      <c r="M460" s="2"/>
      <c r="N460" s="2"/>
      <c r="O460" s="2"/>
      <c r="P460" s="2"/>
      <c r="Q460" s="2"/>
      <c r="R460" s="2"/>
      <c r="S460" s="2"/>
      <c r="T460" s="2"/>
      <c r="U460" s="2"/>
      <c r="V460" s="2"/>
      <c r="W460" s="2"/>
      <c r="X460" s="2"/>
    </row>
    <row r="461" spans="1:24" ht="110.25" x14ac:dyDescent="0.2">
      <c r="A461" s="16" t="str">
        <f>$C$4&amp;"-"&amp;TEXT(COUNTA($E$15:E461),"00")</f>
        <v>TC-420</v>
      </c>
      <c r="B461" s="37" t="s">
        <v>20</v>
      </c>
      <c r="C461" s="15" t="s">
        <v>1424</v>
      </c>
      <c r="D461" s="15" t="s">
        <v>1425</v>
      </c>
      <c r="E461" s="15" t="s">
        <v>1426</v>
      </c>
      <c r="F461" s="1"/>
      <c r="G461" s="21" t="s">
        <v>1427</v>
      </c>
      <c r="H461" s="2"/>
      <c r="I461" s="2"/>
      <c r="J461" s="2"/>
      <c r="K461" s="2"/>
      <c r="L461" s="2"/>
      <c r="M461" s="2"/>
      <c r="N461" s="2"/>
      <c r="O461" s="2"/>
      <c r="P461" s="2"/>
      <c r="Q461" s="2"/>
      <c r="R461" s="2"/>
      <c r="S461" s="2"/>
      <c r="T461" s="2"/>
      <c r="U461" s="2"/>
      <c r="V461" s="2"/>
      <c r="W461" s="2"/>
      <c r="X461" s="2"/>
    </row>
    <row r="462" spans="1:24" ht="110.25" x14ac:dyDescent="0.2">
      <c r="A462" s="16" t="str">
        <f>$C$4&amp;"-"&amp;TEXT(COUNTA($E$15:E462),"00")</f>
        <v>TC-421</v>
      </c>
      <c r="B462" s="31"/>
      <c r="C462" s="15" t="s">
        <v>1428</v>
      </c>
      <c r="D462" s="15" t="s">
        <v>26</v>
      </c>
      <c r="E462" s="15" t="s">
        <v>27</v>
      </c>
      <c r="F462" s="1"/>
      <c r="G462" s="15"/>
      <c r="H462" s="2"/>
      <c r="I462" s="2"/>
      <c r="J462" s="2"/>
      <c r="K462" s="2"/>
      <c r="L462" s="2"/>
      <c r="M462" s="2"/>
      <c r="N462" s="2"/>
      <c r="O462" s="2"/>
      <c r="P462" s="2"/>
      <c r="Q462" s="2"/>
      <c r="R462" s="2"/>
      <c r="S462" s="2"/>
      <c r="T462" s="2"/>
      <c r="U462" s="2"/>
      <c r="V462" s="2"/>
      <c r="W462" s="2"/>
      <c r="X462" s="2"/>
    </row>
    <row r="463" spans="1:24" ht="47.25" x14ac:dyDescent="0.2">
      <c r="A463" s="16" t="str">
        <f>$C$4&amp;"-"&amp;TEXT(COUNTA($E$15:E463),"00")</f>
        <v>TC-422</v>
      </c>
      <c r="B463" s="31"/>
      <c r="C463" s="15" t="s">
        <v>1429</v>
      </c>
      <c r="D463" s="15" t="s">
        <v>1430</v>
      </c>
      <c r="E463" s="15" t="s">
        <v>1431</v>
      </c>
      <c r="F463" s="1"/>
      <c r="G463" s="15"/>
      <c r="H463" s="2"/>
      <c r="I463" s="2"/>
      <c r="J463" s="2"/>
      <c r="K463" s="2"/>
      <c r="L463" s="2"/>
      <c r="M463" s="2"/>
      <c r="N463" s="2"/>
      <c r="O463" s="2"/>
      <c r="P463" s="2"/>
      <c r="Q463" s="2"/>
      <c r="R463" s="2"/>
      <c r="S463" s="2"/>
      <c r="T463" s="2"/>
      <c r="U463" s="2"/>
      <c r="V463" s="2"/>
      <c r="W463" s="2"/>
      <c r="X463" s="2"/>
    </row>
    <row r="464" spans="1:24" ht="47.25" x14ac:dyDescent="0.2">
      <c r="A464" s="16" t="str">
        <f>$C$4&amp;"-"&amp;TEXT(COUNTA($E$15:E464),"00")</f>
        <v>TC-423</v>
      </c>
      <c r="B464" s="31"/>
      <c r="C464" s="15" t="s">
        <v>1432</v>
      </c>
      <c r="D464" s="15" t="s">
        <v>1433</v>
      </c>
      <c r="E464" s="15" t="s">
        <v>1434</v>
      </c>
      <c r="F464" s="1"/>
      <c r="G464" s="15"/>
      <c r="H464" s="2"/>
      <c r="I464" s="2"/>
      <c r="J464" s="2"/>
      <c r="K464" s="2"/>
      <c r="L464" s="2"/>
      <c r="M464" s="2"/>
      <c r="N464" s="2"/>
      <c r="O464" s="2"/>
      <c r="P464" s="2"/>
      <c r="Q464" s="2"/>
      <c r="R464" s="2"/>
      <c r="S464" s="2"/>
      <c r="T464" s="2"/>
      <c r="U464" s="2"/>
      <c r="V464" s="2"/>
      <c r="W464" s="2"/>
      <c r="X464" s="2"/>
    </row>
    <row r="465" spans="1:24" ht="47.25" x14ac:dyDescent="0.2">
      <c r="A465" s="16" t="str">
        <f>$C$4&amp;"-"&amp;TEXT(COUNTA($E$15:E465),"00")</f>
        <v>TC-424</v>
      </c>
      <c r="B465" s="31"/>
      <c r="C465" s="15" t="s">
        <v>1435</v>
      </c>
      <c r="D465" s="15" t="s">
        <v>1436</v>
      </c>
      <c r="E465" s="15" t="s">
        <v>1437</v>
      </c>
      <c r="F465" s="1"/>
      <c r="G465" s="15"/>
      <c r="H465" s="2"/>
      <c r="I465" s="2"/>
      <c r="J465" s="2"/>
      <c r="K465" s="2"/>
      <c r="L465" s="2"/>
      <c r="M465" s="2"/>
      <c r="N465" s="2"/>
      <c r="O465" s="2"/>
      <c r="P465" s="2"/>
      <c r="Q465" s="2"/>
      <c r="R465" s="2"/>
      <c r="S465" s="2"/>
      <c r="T465" s="2"/>
      <c r="U465" s="2"/>
      <c r="V465" s="2"/>
      <c r="W465" s="2"/>
      <c r="X465" s="2"/>
    </row>
    <row r="466" spans="1:24" ht="47.25" x14ac:dyDescent="0.2">
      <c r="A466" s="16" t="str">
        <f>$C$4&amp;"-"&amp;TEXT(COUNTA($E$15:E466),"00")</f>
        <v>TC-425</v>
      </c>
      <c r="B466" s="31"/>
      <c r="C466" s="15" t="s">
        <v>1438</v>
      </c>
      <c r="D466" s="15" t="s">
        <v>1439</v>
      </c>
      <c r="E466" s="15" t="s">
        <v>1440</v>
      </c>
      <c r="F466" s="1"/>
      <c r="G466" s="15"/>
      <c r="H466" s="2"/>
      <c r="I466" s="2"/>
      <c r="J466" s="2"/>
      <c r="K466" s="2"/>
      <c r="L466" s="2"/>
      <c r="M466" s="2"/>
      <c r="N466" s="2"/>
      <c r="O466" s="2"/>
      <c r="P466" s="2"/>
      <c r="Q466" s="2"/>
      <c r="R466" s="2"/>
      <c r="S466" s="2"/>
      <c r="T466" s="2"/>
      <c r="U466" s="2"/>
      <c r="V466" s="2"/>
      <c r="W466" s="2"/>
      <c r="X466" s="2"/>
    </row>
    <row r="467" spans="1:24" ht="47.25" x14ac:dyDescent="0.2">
      <c r="A467" s="16" t="str">
        <f>$C$4&amp;"-"&amp;TEXT(COUNTA($E$15:E467),"00")</f>
        <v>TC-426</v>
      </c>
      <c r="B467" s="31"/>
      <c r="C467" s="15" t="s">
        <v>1441</v>
      </c>
      <c r="D467" s="15" t="s">
        <v>1442</v>
      </c>
      <c r="E467" s="15" t="s">
        <v>1443</v>
      </c>
      <c r="F467" s="1"/>
      <c r="G467" s="15" t="s">
        <v>1444</v>
      </c>
      <c r="H467" s="2"/>
      <c r="I467" s="2"/>
      <c r="J467" s="2"/>
      <c r="K467" s="2"/>
      <c r="L467" s="2"/>
      <c r="M467" s="2"/>
      <c r="N467" s="2"/>
      <c r="O467" s="2"/>
      <c r="P467" s="2"/>
      <c r="Q467" s="2"/>
      <c r="R467" s="2"/>
      <c r="S467" s="2"/>
      <c r="T467" s="2"/>
      <c r="U467" s="2"/>
      <c r="V467" s="2"/>
      <c r="W467" s="2"/>
      <c r="X467" s="2"/>
    </row>
    <row r="468" spans="1:24" ht="47.25" x14ac:dyDescent="0.2">
      <c r="A468" s="16" t="str">
        <f>$C$4&amp;"-"&amp;TEXT(COUNTA($E$15:E468),"00")</f>
        <v>TC-427</v>
      </c>
      <c r="B468" s="31"/>
      <c r="C468" s="15" t="s">
        <v>1445</v>
      </c>
      <c r="D468" s="15" t="s">
        <v>1446</v>
      </c>
      <c r="E468" s="15" t="s">
        <v>1447</v>
      </c>
      <c r="F468" s="1"/>
      <c r="G468" s="15" t="s">
        <v>1448</v>
      </c>
      <c r="H468" s="2"/>
      <c r="I468" s="2"/>
      <c r="J468" s="2"/>
      <c r="K468" s="2"/>
      <c r="L468" s="2"/>
      <c r="M468" s="2"/>
      <c r="N468" s="2"/>
      <c r="O468" s="2"/>
      <c r="P468" s="2"/>
      <c r="Q468" s="2"/>
      <c r="R468" s="2"/>
      <c r="S468" s="2"/>
      <c r="T468" s="2"/>
      <c r="U468" s="2"/>
      <c r="V468" s="2"/>
      <c r="W468" s="2"/>
      <c r="X468" s="2"/>
    </row>
    <row r="469" spans="1:24" ht="47.25" x14ac:dyDescent="0.2">
      <c r="A469" s="16" t="str">
        <f>$C$4&amp;"-"&amp;TEXT(COUNTA($E$15:E469),"00")</f>
        <v>TC-428</v>
      </c>
      <c r="B469" s="32"/>
      <c r="C469" s="15" t="s">
        <v>1449</v>
      </c>
      <c r="D469" s="15" t="s">
        <v>1450</v>
      </c>
      <c r="E469" s="15" t="s">
        <v>1451</v>
      </c>
      <c r="F469" s="1"/>
      <c r="G469" s="15" t="s">
        <v>1452</v>
      </c>
      <c r="H469" s="2"/>
      <c r="I469" s="2"/>
      <c r="J469" s="2"/>
      <c r="K469" s="2"/>
      <c r="L469" s="2"/>
      <c r="M469" s="2"/>
      <c r="N469" s="2"/>
      <c r="O469" s="2"/>
      <c r="P469" s="2"/>
      <c r="Q469" s="2"/>
      <c r="R469" s="2"/>
      <c r="S469" s="2"/>
      <c r="T469" s="2"/>
      <c r="U469" s="2"/>
      <c r="V469" s="2"/>
      <c r="W469" s="2"/>
      <c r="X469" s="2"/>
    </row>
    <row r="470" spans="1:24" ht="31.5" x14ac:dyDescent="0.2">
      <c r="A470" s="16" t="str">
        <f>$C$4&amp;"-"&amp;TEXT(COUNTA($E$15:E470),"00")</f>
        <v>TC-429</v>
      </c>
      <c r="B470" s="15" t="s">
        <v>1243</v>
      </c>
      <c r="C470" s="15" t="s">
        <v>1453</v>
      </c>
      <c r="D470" s="15" t="s">
        <v>1454</v>
      </c>
      <c r="E470" s="15" t="s">
        <v>1455</v>
      </c>
      <c r="F470" s="1"/>
      <c r="G470" s="15" t="s">
        <v>1456</v>
      </c>
      <c r="H470" s="2"/>
      <c r="I470" s="2"/>
      <c r="J470" s="2"/>
      <c r="K470" s="2"/>
      <c r="L470" s="2"/>
      <c r="M470" s="2"/>
      <c r="N470" s="2"/>
      <c r="O470" s="2"/>
      <c r="P470" s="2"/>
      <c r="Q470" s="2"/>
      <c r="R470" s="2"/>
      <c r="S470" s="2"/>
      <c r="T470" s="2"/>
      <c r="U470" s="2"/>
      <c r="V470" s="2"/>
      <c r="W470" s="2"/>
      <c r="X470" s="2"/>
    </row>
    <row r="471" spans="1:24" ht="78.75" x14ac:dyDescent="0.2">
      <c r="A471" s="16" t="str">
        <f>$C$4&amp;"-"&amp;TEXT(COUNTA($E$15:E471),"00")</f>
        <v>TC-430</v>
      </c>
      <c r="B471" s="15" t="s">
        <v>1457</v>
      </c>
      <c r="C471" s="15" t="s">
        <v>1458</v>
      </c>
      <c r="D471" s="15" t="s">
        <v>1459</v>
      </c>
      <c r="E471" s="15" t="s">
        <v>1460</v>
      </c>
      <c r="F471" s="1"/>
      <c r="G471" s="15" t="s">
        <v>1461</v>
      </c>
      <c r="H471" s="2"/>
      <c r="I471" s="2"/>
      <c r="J471" s="2"/>
      <c r="K471" s="2"/>
      <c r="L471" s="2"/>
      <c r="M471" s="2"/>
      <c r="N471" s="2"/>
      <c r="O471" s="2"/>
      <c r="P471" s="2"/>
      <c r="Q471" s="2"/>
      <c r="R471" s="2"/>
      <c r="S471" s="2"/>
      <c r="T471" s="2"/>
      <c r="U471" s="2"/>
      <c r="V471" s="2"/>
      <c r="W471" s="2"/>
      <c r="X471" s="2"/>
    </row>
    <row r="472" spans="1:24" x14ac:dyDescent="0.2">
      <c r="A472" s="33" t="s">
        <v>1462</v>
      </c>
      <c r="B472" s="34"/>
      <c r="C472" s="34"/>
      <c r="D472" s="34"/>
      <c r="E472" s="34"/>
      <c r="F472" s="35"/>
      <c r="G472" s="15"/>
      <c r="H472" s="2"/>
      <c r="I472" s="2"/>
      <c r="J472" s="2"/>
      <c r="K472" s="2"/>
      <c r="L472" s="2"/>
      <c r="M472" s="2"/>
      <c r="N472" s="2"/>
      <c r="O472" s="2"/>
      <c r="P472" s="2"/>
      <c r="Q472" s="2"/>
      <c r="R472" s="2"/>
      <c r="S472" s="2"/>
      <c r="T472" s="2"/>
      <c r="U472" s="2"/>
      <c r="V472" s="2"/>
      <c r="W472" s="2"/>
      <c r="X472" s="2"/>
    </row>
    <row r="473" spans="1:24" ht="141.75" x14ac:dyDescent="0.2">
      <c r="A473" s="16" t="str">
        <f>$C$4&amp;"-"&amp;TEXT(COUNTA($E$15:E473),"00")</f>
        <v>TC-431</v>
      </c>
      <c r="B473" s="37" t="s">
        <v>1463</v>
      </c>
      <c r="C473" s="15" t="s">
        <v>1464</v>
      </c>
      <c r="D473" s="15" t="s">
        <v>1465</v>
      </c>
      <c r="E473" s="15" t="s">
        <v>1466</v>
      </c>
      <c r="F473" s="1"/>
      <c r="G473" s="15" t="s">
        <v>1467</v>
      </c>
      <c r="H473" s="2"/>
      <c r="I473" s="2"/>
      <c r="J473" s="2"/>
      <c r="K473" s="2"/>
      <c r="L473" s="2"/>
      <c r="M473" s="2"/>
      <c r="N473" s="2"/>
      <c r="O473" s="2"/>
      <c r="P473" s="2"/>
      <c r="Q473" s="2"/>
      <c r="R473" s="2"/>
      <c r="S473" s="2"/>
      <c r="T473" s="2"/>
      <c r="U473" s="2"/>
      <c r="V473" s="2"/>
      <c r="W473" s="2"/>
      <c r="X473" s="2"/>
    </row>
    <row r="474" spans="1:24" ht="78.75" x14ac:dyDescent="0.2">
      <c r="A474" s="16" t="str">
        <f>$C$4&amp;"-"&amp;TEXT(COUNTA($E$15:E474),"00")</f>
        <v>TC-432</v>
      </c>
      <c r="B474" s="31"/>
      <c r="C474" s="15" t="s">
        <v>1468</v>
      </c>
      <c r="D474" s="15" t="s">
        <v>1469</v>
      </c>
      <c r="E474" s="15" t="s">
        <v>1470</v>
      </c>
      <c r="F474" s="1"/>
      <c r="G474" s="15" t="s">
        <v>1471</v>
      </c>
      <c r="H474" s="2"/>
      <c r="I474" s="2"/>
      <c r="J474" s="2"/>
      <c r="K474" s="2"/>
      <c r="L474" s="2"/>
      <c r="M474" s="2"/>
      <c r="N474" s="2"/>
      <c r="O474" s="2"/>
      <c r="P474" s="2"/>
      <c r="Q474" s="2"/>
      <c r="R474" s="2"/>
      <c r="S474" s="2"/>
      <c r="T474" s="2"/>
      <c r="U474" s="2"/>
      <c r="V474" s="2"/>
      <c r="W474" s="2"/>
      <c r="X474" s="2"/>
    </row>
    <row r="475" spans="1:24" ht="47.25" x14ac:dyDescent="0.2">
      <c r="A475" s="16" t="str">
        <f>$C$4&amp;"-"&amp;TEXT(COUNTA($E$15:E475),"00")</f>
        <v>TC-433</v>
      </c>
      <c r="B475" s="31"/>
      <c r="C475" s="15" t="s">
        <v>1472</v>
      </c>
      <c r="D475" s="15" t="s">
        <v>1473</v>
      </c>
      <c r="E475" s="15" t="s">
        <v>1474</v>
      </c>
      <c r="F475" s="1"/>
      <c r="G475" s="15" t="s">
        <v>1475</v>
      </c>
      <c r="H475" s="2"/>
      <c r="I475" s="2"/>
      <c r="J475" s="2"/>
      <c r="K475" s="2"/>
      <c r="L475" s="2"/>
      <c r="M475" s="2"/>
      <c r="N475" s="2"/>
      <c r="O475" s="2"/>
      <c r="P475" s="2"/>
      <c r="Q475" s="2"/>
      <c r="R475" s="2"/>
      <c r="S475" s="2"/>
      <c r="T475" s="2"/>
      <c r="U475" s="2"/>
      <c r="V475" s="2"/>
      <c r="W475" s="2"/>
      <c r="X475" s="2"/>
    </row>
    <row r="476" spans="1:24" ht="63" x14ac:dyDescent="0.2">
      <c r="A476" s="16" t="str">
        <f>$C$4&amp;"-"&amp;TEXT(COUNTA($E$15:E476),"00")</f>
        <v>TC-434</v>
      </c>
      <c r="B476" s="31"/>
      <c r="C476" s="15" t="s">
        <v>1476</v>
      </c>
      <c r="D476" s="15" t="s">
        <v>1477</v>
      </c>
      <c r="E476" s="15" t="s">
        <v>1478</v>
      </c>
      <c r="F476" s="1"/>
      <c r="G476" s="15" t="s">
        <v>1479</v>
      </c>
      <c r="H476" s="2"/>
      <c r="I476" s="2"/>
      <c r="J476" s="2"/>
      <c r="K476" s="2"/>
      <c r="L476" s="2"/>
      <c r="M476" s="2"/>
      <c r="N476" s="2"/>
      <c r="O476" s="2"/>
      <c r="P476" s="2"/>
      <c r="Q476" s="2"/>
      <c r="R476" s="2"/>
      <c r="S476" s="2"/>
      <c r="T476" s="2"/>
      <c r="U476" s="2"/>
      <c r="V476" s="2"/>
      <c r="W476" s="2"/>
      <c r="X476" s="2"/>
    </row>
    <row r="477" spans="1:24" ht="47.25" x14ac:dyDescent="0.2">
      <c r="A477" s="16" t="str">
        <f>$C$4&amp;"-"&amp;TEXT(COUNTA($E$15:E477),"00")</f>
        <v>TC-435</v>
      </c>
      <c r="B477" s="32"/>
      <c r="C477" s="15" t="s">
        <v>1480</v>
      </c>
      <c r="D477" s="15" t="s">
        <v>1481</v>
      </c>
      <c r="E477" s="15" t="s">
        <v>1482</v>
      </c>
      <c r="F477" s="1"/>
      <c r="G477" s="15" t="s">
        <v>1483</v>
      </c>
      <c r="H477" s="2"/>
      <c r="I477" s="2"/>
      <c r="J477" s="2"/>
      <c r="K477" s="2"/>
      <c r="L477" s="2"/>
      <c r="M477" s="2"/>
      <c r="N477" s="2"/>
      <c r="O477" s="2"/>
      <c r="P477" s="2"/>
      <c r="Q477" s="2"/>
      <c r="R477" s="2"/>
      <c r="S477" s="2"/>
      <c r="T477" s="2"/>
      <c r="U477" s="2"/>
      <c r="V477" s="2"/>
      <c r="W477" s="2"/>
      <c r="X477" s="2"/>
    </row>
    <row r="478" spans="1:24" ht="63" x14ac:dyDescent="0.2">
      <c r="A478" s="16" t="str">
        <f>$C$4&amp;"-"&amp;TEXT(COUNTA($E$15:E478),"00")</f>
        <v>TC-436</v>
      </c>
      <c r="B478" s="37" t="s">
        <v>1484</v>
      </c>
      <c r="C478" s="15" t="s">
        <v>1485</v>
      </c>
      <c r="D478" s="15" t="s">
        <v>1486</v>
      </c>
      <c r="E478" s="15" t="s">
        <v>1487</v>
      </c>
      <c r="F478" s="1"/>
      <c r="G478" s="15" t="s">
        <v>1488</v>
      </c>
      <c r="H478" s="2"/>
      <c r="I478" s="2"/>
      <c r="J478" s="2"/>
      <c r="K478" s="2"/>
      <c r="L478" s="2"/>
      <c r="M478" s="2"/>
      <c r="N478" s="2"/>
      <c r="O478" s="2"/>
      <c r="P478" s="2"/>
      <c r="Q478" s="2"/>
      <c r="R478" s="2"/>
      <c r="S478" s="2"/>
      <c r="T478" s="2"/>
      <c r="U478" s="2"/>
      <c r="V478" s="2"/>
      <c r="W478" s="2"/>
      <c r="X478" s="2"/>
    </row>
    <row r="479" spans="1:24" ht="63" x14ac:dyDescent="0.2">
      <c r="A479" s="16" t="str">
        <f>$C$4&amp;"-"&amp;TEXT(COUNTA($E$15:E479),"00")</f>
        <v>TC-437</v>
      </c>
      <c r="B479" s="31"/>
      <c r="C479" s="15" t="s">
        <v>1489</v>
      </c>
      <c r="D479" s="15" t="s">
        <v>1490</v>
      </c>
      <c r="E479" s="15" t="s">
        <v>1491</v>
      </c>
      <c r="F479" s="1"/>
      <c r="G479" s="15" t="s">
        <v>1492</v>
      </c>
      <c r="H479" s="2"/>
      <c r="I479" s="2"/>
      <c r="J479" s="2"/>
      <c r="K479" s="2"/>
      <c r="L479" s="2"/>
      <c r="M479" s="2"/>
      <c r="N479" s="2"/>
      <c r="O479" s="2"/>
      <c r="P479" s="2"/>
      <c r="Q479" s="2"/>
      <c r="R479" s="2"/>
      <c r="S479" s="2"/>
      <c r="T479" s="2"/>
      <c r="U479" s="2"/>
      <c r="V479" s="2"/>
      <c r="W479" s="2"/>
      <c r="X479" s="2"/>
    </row>
    <row r="480" spans="1:24" ht="78.75" x14ac:dyDescent="0.2">
      <c r="A480" s="16" t="str">
        <f>$C$4&amp;"-"&amp;TEXT(COUNTA($E$15:E480),"00")</f>
        <v>TC-438</v>
      </c>
      <c r="B480" s="31"/>
      <c r="C480" s="15" t="s">
        <v>1493</v>
      </c>
      <c r="D480" s="15" t="s">
        <v>1494</v>
      </c>
      <c r="E480" s="15" t="s">
        <v>1495</v>
      </c>
      <c r="F480" s="1"/>
      <c r="G480" s="15" t="s">
        <v>1496</v>
      </c>
      <c r="H480" s="2"/>
      <c r="I480" s="2"/>
      <c r="J480" s="2"/>
      <c r="K480" s="2"/>
      <c r="L480" s="2"/>
      <c r="M480" s="2"/>
      <c r="N480" s="2"/>
      <c r="O480" s="2"/>
      <c r="P480" s="2"/>
      <c r="Q480" s="2"/>
      <c r="R480" s="2"/>
      <c r="S480" s="2"/>
      <c r="T480" s="2"/>
      <c r="U480" s="2"/>
      <c r="V480" s="2"/>
      <c r="W480" s="2"/>
      <c r="X480" s="2"/>
    </row>
    <row r="481" spans="1:24" ht="94.5" x14ac:dyDescent="0.2">
      <c r="A481" s="16" t="str">
        <f>$C$4&amp;"-"&amp;TEXT(COUNTA($E$15:E481),"00")</f>
        <v>TC-439</v>
      </c>
      <c r="B481" s="32"/>
      <c r="C481" s="15" t="s">
        <v>1497</v>
      </c>
      <c r="D481" s="15" t="s">
        <v>1498</v>
      </c>
      <c r="E481" s="15" t="s">
        <v>1499</v>
      </c>
      <c r="F481" s="1"/>
      <c r="G481" s="15" t="s">
        <v>1500</v>
      </c>
      <c r="H481" s="2"/>
      <c r="I481" s="2"/>
      <c r="J481" s="2"/>
      <c r="K481" s="2"/>
      <c r="L481" s="2"/>
      <c r="M481" s="2"/>
      <c r="N481" s="2"/>
      <c r="O481" s="2"/>
      <c r="P481" s="2"/>
      <c r="Q481" s="2"/>
      <c r="R481" s="2"/>
      <c r="S481" s="2"/>
      <c r="T481" s="2"/>
      <c r="U481" s="2"/>
      <c r="V481" s="2"/>
      <c r="W481" s="2"/>
      <c r="X481" s="2"/>
    </row>
    <row r="482" spans="1:24" ht="141.75" x14ac:dyDescent="0.2">
      <c r="A482" s="16" t="str">
        <f>$C$4&amp;"-"&amp;TEXT(COUNTA($E$15:E482),"00")</f>
        <v>TC-440</v>
      </c>
      <c r="B482" s="37" t="s">
        <v>1501</v>
      </c>
      <c r="C482" s="15" t="s">
        <v>1502</v>
      </c>
      <c r="D482" s="15" t="s">
        <v>1503</v>
      </c>
      <c r="E482" s="15" t="s">
        <v>1504</v>
      </c>
      <c r="F482" s="1"/>
      <c r="G482" s="15" t="s">
        <v>1505</v>
      </c>
      <c r="H482" s="2"/>
      <c r="I482" s="2"/>
      <c r="J482" s="2"/>
      <c r="K482" s="2"/>
      <c r="L482" s="2"/>
      <c r="M482" s="2"/>
      <c r="N482" s="2"/>
      <c r="O482" s="2"/>
      <c r="P482" s="2"/>
      <c r="Q482" s="2"/>
      <c r="R482" s="2"/>
      <c r="S482" s="2"/>
      <c r="T482" s="2"/>
      <c r="U482" s="2"/>
      <c r="V482" s="2"/>
      <c r="W482" s="2"/>
      <c r="X482" s="2"/>
    </row>
    <row r="483" spans="1:24" ht="63" x14ac:dyDescent="0.2">
      <c r="A483" s="16" t="str">
        <f>$C$4&amp;"-"&amp;TEXT(COUNTA($E$15:E483),"00")</f>
        <v>TC-441</v>
      </c>
      <c r="B483" s="31"/>
      <c r="C483" s="15" t="s">
        <v>1506</v>
      </c>
      <c r="D483" s="15" t="s">
        <v>1469</v>
      </c>
      <c r="E483" s="15" t="s">
        <v>1507</v>
      </c>
      <c r="F483" s="1"/>
      <c r="G483" s="15" t="s">
        <v>1508</v>
      </c>
      <c r="H483" s="2"/>
      <c r="I483" s="2"/>
      <c r="J483" s="2"/>
      <c r="K483" s="2"/>
      <c r="L483" s="2"/>
      <c r="M483" s="2"/>
      <c r="N483" s="2"/>
      <c r="O483" s="2"/>
      <c r="P483" s="2"/>
      <c r="Q483" s="2"/>
      <c r="R483" s="2"/>
      <c r="S483" s="2"/>
      <c r="T483" s="2"/>
      <c r="U483" s="2"/>
      <c r="V483" s="2"/>
      <c r="W483" s="2"/>
      <c r="X483" s="2"/>
    </row>
    <row r="484" spans="1:24" ht="63" x14ac:dyDescent="0.2">
      <c r="A484" s="16" t="str">
        <f>$C$4&amp;"-"&amp;TEXT(COUNTA($E$15:E484),"00")</f>
        <v>TC-442</v>
      </c>
      <c r="B484" s="31"/>
      <c r="C484" s="15" t="s">
        <v>1509</v>
      </c>
      <c r="D484" s="15" t="s">
        <v>1510</v>
      </c>
      <c r="E484" s="15" t="s">
        <v>1511</v>
      </c>
      <c r="F484" s="1"/>
      <c r="G484" s="15" t="s">
        <v>1512</v>
      </c>
      <c r="H484" s="2"/>
      <c r="I484" s="2"/>
      <c r="J484" s="2"/>
      <c r="K484" s="2"/>
      <c r="L484" s="2"/>
      <c r="M484" s="2"/>
      <c r="N484" s="2"/>
      <c r="O484" s="2"/>
      <c r="P484" s="2"/>
      <c r="Q484" s="2"/>
      <c r="R484" s="2"/>
      <c r="S484" s="2"/>
      <c r="T484" s="2"/>
      <c r="U484" s="2"/>
      <c r="V484" s="2"/>
      <c r="W484" s="2"/>
      <c r="X484" s="2"/>
    </row>
    <row r="485" spans="1:24" ht="47.25" x14ac:dyDescent="0.2">
      <c r="A485" s="16" t="str">
        <f>$C$4&amp;"-"&amp;TEXT(COUNTA($E$15:E485),"00")</f>
        <v>TC-443</v>
      </c>
      <c r="B485" s="31"/>
      <c r="C485" s="15" t="s">
        <v>1513</v>
      </c>
      <c r="D485" s="15" t="s">
        <v>1514</v>
      </c>
      <c r="E485" s="15" t="s">
        <v>1515</v>
      </c>
      <c r="F485" s="1"/>
      <c r="G485" s="15" t="s">
        <v>1516</v>
      </c>
      <c r="H485" s="2"/>
      <c r="I485" s="2"/>
      <c r="J485" s="2"/>
      <c r="K485" s="2"/>
      <c r="L485" s="2"/>
      <c r="M485" s="2"/>
      <c r="N485" s="2"/>
      <c r="O485" s="2"/>
      <c r="P485" s="2"/>
      <c r="Q485" s="2"/>
      <c r="R485" s="2"/>
      <c r="S485" s="2"/>
      <c r="T485" s="2"/>
      <c r="U485" s="2"/>
      <c r="V485" s="2"/>
      <c r="W485" s="2"/>
      <c r="X485" s="2"/>
    </row>
    <row r="486" spans="1:24" ht="47.25" x14ac:dyDescent="0.2">
      <c r="A486" s="16" t="str">
        <f>$C$4&amp;"-"&amp;TEXT(COUNTA($E$15:E486),"00")</f>
        <v>TC-444</v>
      </c>
      <c r="B486" s="31"/>
      <c r="C486" s="15" t="s">
        <v>1517</v>
      </c>
      <c r="D486" s="15" t="s">
        <v>1518</v>
      </c>
      <c r="E486" s="15" t="s">
        <v>1519</v>
      </c>
      <c r="F486" s="1"/>
      <c r="G486" s="15" t="s">
        <v>1520</v>
      </c>
      <c r="H486" s="2"/>
      <c r="I486" s="2"/>
      <c r="J486" s="2"/>
      <c r="K486" s="2"/>
      <c r="L486" s="2"/>
      <c r="M486" s="2"/>
      <c r="N486" s="2"/>
      <c r="O486" s="2"/>
      <c r="P486" s="2"/>
      <c r="Q486" s="2"/>
      <c r="R486" s="2"/>
      <c r="S486" s="2"/>
      <c r="T486" s="2"/>
      <c r="U486" s="2"/>
      <c r="V486" s="2"/>
      <c r="W486" s="2"/>
      <c r="X486" s="2"/>
    </row>
    <row r="487" spans="1:24" ht="126" x14ac:dyDescent="0.2">
      <c r="A487" s="16" t="str">
        <f>$C$4&amp;"-"&amp;TEXT(COUNTA($E$15:E487),"00")</f>
        <v>TC-445</v>
      </c>
      <c r="B487" s="31"/>
      <c r="C487" s="15" t="s">
        <v>1521</v>
      </c>
      <c r="D487" s="15" t="s">
        <v>1522</v>
      </c>
      <c r="E487" s="15" t="s">
        <v>1523</v>
      </c>
      <c r="F487" s="1"/>
      <c r="G487" s="15" t="s">
        <v>1524</v>
      </c>
      <c r="H487" s="2"/>
      <c r="I487" s="2"/>
      <c r="J487" s="2"/>
      <c r="K487" s="2"/>
      <c r="L487" s="2"/>
      <c r="M487" s="2"/>
      <c r="N487" s="2"/>
      <c r="O487" s="2"/>
      <c r="P487" s="2"/>
      <c r="Q487" s="2"/>
      <c r="R487" s="2"/>
      <c r="S487" s="2"/>
      <c r="T487" s="2"/>
      <c r="U487" s="2"/>
      <c r="V487" s="2"/>
      <c r="W487" s="2"/>
      <c r="X487" s="2"/>
    </row>
    <row r="488" spans="1:24" ht="94.5" x14ac:dyDescent="0.2">
      <c r="A488" s="16" t="str">
        <f>$C$4&amp;"-"&amp;TEXT(COUNTA($E$15:E488),"00")</f>
        <v>TC-446</v>
      </c>
      <c r="B488" s="32"/>
      <c r="C488" s="15" t="s">
        <v>1525</v>
      </c>
      <c r="D488" s="15" t="s">
        <v>1526</v>
      </c>
      <c r="E488" s="15" t="s">
        <v>1527</v>
      </c>
      <c r="F488" s="1"/>
      <c r="G488" s="15" t="s">
        <v>1528</v>
      </c>
      <c r="H488" s="2"/>
      <c r="I488" s="2"/>
      <c r="J488" s="2"/>
      <c r="K488" s="2"/>
      <c r="L488" s="2"/>
      <c r="M488" s="2"/>
      <c r="N488" s="2"/>
      <c r="O488" s="2"/>
      <c r="P488" s="2"/>
      <c r="Q488" s="2"/>
      <c r="R488" s="2"/>
      <c r="S488" s="2"/>
      <c r="T488" s="2"/>
      <c r="U488" s="2"/>
      <c r="V488" s="2"/>
      <c r="W488" s="2"/>
      <c r="X488" s="2"/>
    </row>
    <row r="489" spans="1:24" ht="157.5" x14ac:dyDescent="0.2">
      <c r="A489" s="16" t="str">
        <f>$C$4&amp;"-"&amp;TEXT(COUNTA($E$15:E489),"00")</f>
        <v>TC-447</v>
      </c>
      <c r="B489" s="37" t="s">
        <v>1529</v>
      </c>
      <c r="C489" s="15" t="s">
        <v>1530</v>
      </c>
      <c r="D489" s="15" t="s">
        <v>1531</v>
      </c>
      <c r="E489" s="15" t="s">
        <v>1532</v>
      </c>
      <c r="F489" s="1"/>
      <c r="G489" s="15" t="s">
        <v>1533</v>
      </c>
      <c r="H489" s="2"/>
      <c r="I489" s="2"/>
      <c r="J489" s="2"/>
      <c r="K489" s="2"/>
      <c r="L489" s="2"/>
      <c r="M489" s="2"/>
      <c r="N489" s="2"/>
      <c r="O489" s="2"/>
      <c r="P489" s="2"/>
      <c r="Q489" s="2"/>
      <c r="R489" s="2"/>
      <c r="S489" s="2"/>
      <c r="T489" s="2"/>
      <c r="U489" s="2"/>
      <c r="V489" s="2"/>
      <c r="W489" s="2"/>
      <c r="X489" s="2"/>
    </row>
    <row r="490" spans="1:24" ht="94.5" x14ac:dyDescent="0.2">
      <c r="A490" s="16" t="str">
        <f>$C$4&amp;"-"&amp;TEXT(COUNTA($E$15:E490),"00")</f>
        <v>TC-448</v>
      </c>
      <c r="B490" s="31"/>
      <c r="C490" s="15" t="s">
        <v>1534</v>
      </c>
      <c r="D490" s="15" t="s">
        <v>1469</v>
      </c>
      <c r="E490" s="15" t="s">
        <v>1535</v>
      </c>
      <c r="F490" s="1"/>
      <c r="G490" s="15" t="s">
        <v>1536</v>
      </c>
      <c r="H490" s="2"/>
      <c r="I490" s="2"/>
      <c r="J490" s="2"/>
      <c r="K490" s="2"/>
      <c r="L490" s="2"/>
      <c r="M490" s="2"/>
      <c r="N490" s="2"/>
      <c r="O490" s="2"/>
      <c r="P490" s="2"/>
      <c r="Q490" s="2"/>
      <c r="R490" s="2"/>
      <c r="S490" s="2"/>
      <c r="T490" s="2"/>
      <c r="U490" s="2"/>
      <c r="V490" s="2"/>
      <c r="W490" s="2"/>
      <c r="X490" s="2"/>
    </row>
    <row r="491" spans="1:24" ht="47.25" x14ac:dyDescent="0.2">
      <c r="A491" s="16" t="str">
        <f>$C$4&amp;"-"&amp;TEXT(COUNTA($E$15:E491),"00")</f>
        <v>TC-449</v>
      </c>
      <c r="B491" s="31"/>
      <c r="C491" s="15" t="s">
        <v>1537</v>
      </c>
      <c r="D491" s="15" t="s">
        <v>1538</v>
      </c>
      <c r="E491" s="15" t="s">
        <v>1519</v>
      </c>
      <c r="F491" s="1"/>
      <c r="G491" s="15" t="s">
        <v>1520</v>
      </c>
      <c r="H491" s="2"/>
      <c r="I491" s="2"/>
      <c r="J491" s="2"/>
      <c r="K491" s="2"/>
      <c r="L491" s="2"/>
      <c r="M491" s="2"/>
      <c r="N491" s="2"/>
      <c r="O491" s="2"/>
      <c r="P491" s="2"/>
      <c r="Q491" s="2"/>
      <c r="R491" s="2"/>
      <c r="S491" s="2"/>
      <c r="T491" s="2"/>
      <c r="U491" s="2"/>
      <c r="V491" s="2"/>
      <c r="W491" s="2"/>
      <c r="X491" s="2"/>
    </row>
    <row r="492" spans="1:24" ht="110.25" x14ac:dyDescent="0.2">
      <c r="A492" s="16" t="str">
        <f>$C$4&amp;"-"&amp;TEXT(COUNTA($E$15:E492),"00")</f>
        <v>TC-450</v>
      </c>
      <c r="B492" s="31"/>
      <c r="C492" s="15" t="s">
        <v>1539</v>
      </c>
      <c r="D492" s="15" t="s">
        <v>1540</v>
      </c>
      <c r="E492" s="15" t="s">
        <v>1541</v>
      </c>
      <c r="F492" s="1"/>
      <c r="G492" s="15" t="s">
        <v>1542</v>
      </c>
      <c r="H492" s="2"/>
      <c r="I492" s="2"/>
      <c r="J492" s="2"/>
      <c r="K492" s="2"/>
      <c r="L492" s="2"/>
      <c r="M492" s="2"/>
      <c r="N492" s="2"/>
      <c r="O492" s="2"/>
      <c r="P492" s="2"/>
      <c r="Q492" s="2"/>
      <c r="R492" s="2"/>
      <c r="S492" s="2"/>
      <c r="T492" s="2"/>
      <c r="U492" s="2"/>
      <c r="V492" s="2"/>
      <c r="W492" s="2"/>
      <c r="X492" s="2"/>
    </row>
    <row r="493" spans="1:24" ht="47.25" x14ac:dyDescent="0.2">
      <c r="A493" s="16" t="str">
        <f>$C$4&amp;"-"&amp;TEXT(COUNTA($E$15:E493),"00")</f>
        <v>TC-451</v>
      </c>
      <c r="B493" s="31"/>
      <c r="C493" s="15" t="s">
        <v>1543</v>
      </c>
      <c r="D493" s="15" t="s">
        <v>1544</v>
      </c>
      <c r="E493" s="15" t="s">
        <v>1545</v>
      </c>
      <c r="F493" s="1"/>
      <c r="G493" s="15" t="s">
        <v>1546</v>
      </c>
      <c r="H493" s="2"/>
      <c r="I493" s="2"/>
      <c r="J493" s="2"/>
      <c r="K493" s="2"/>
      <c r="L493" s="2"/>
      <c r="M493" s="2"/>
      <c r="N493" s="2"/>
      <c r="O493" s="2"/>
      <c r="P493" s="2"/>
      <c r="Q493" s="2"/>
      <c r="R493" s="2"/>
      <c r="S493" s="2"/>
      <c r="T493" s="2"/>
      <c r="U493" s="2"/>
      <c r="V493" s="2"/>
      <c r="W493" s="2"/>
      <c r="X493" s="2"/>
    </row>
    <row r="494" spans="1:24" ht="47.25" x14ac:dyDescent="0.2">
      <c r="A494" s="16" t="str">
        <f>$C$4&amp;"-"&amp;TEXT(COUNTA($E$15:E494),"00")</f>
        <v>TC-452</v>
      </c>
      <c r="B494" s="31"/>
      <c r="C494" s="15" t="s">
        <v>1547</v>
      </c>
      <c r="D494" s="15" t="s">
        <v>1548</v>
      </c>
      <c r="E494" s="15" t="s">
        <v>1549</v>
      </c>
      <c r="F494" s="1"/>
      <c r="G494" s="15" t="s">
        <v>1550</v>
      </c>
      <c r="H494" s="2"/>
      <c r="I494" s="2"/>
      <c r="J494" s="2"/>
      <c r="K494" s="2"/>
      <c r="L494" s="2"/>
      <c r="M494" s="2"/>
      <c r="N494" s="2"/>
      <c r="O494" s="2"/>
      <c r="P494" s="2"/>
      <c r="Q494" s="2"/>
      <c r="R494" s="2"/>
      <c r="S494" s="2"/>
      <c r="T494" s="2"/>
      <c r="U494" s="2"/>
      <c r="V494" s="2"/>
      <c r="W494" s="2"/>
      <c r="X494" s="2"/>
    </row>
    <row r="495" spans="1:24" ht="94.5" x14ac:dyDescent="0.2">
      <c r="A495" s="16" t="str">
        <f>$C$4&amp;"-"&amp;TEXT(COUNTA($E$15:E495),"00")</f>
        <v>TC-453</v>
      </c>
      <c r="B495" s="32"/>
      <c r="C495" s="15" t="s">
        <v>1551</v>
      </c>
      <c r="D495" s="15" t="s">
        <v>1552</v>
      </c>
      <c r="E495" s="15" t="s">
        <v>1553</v>
      </c>
      <c r="F495" s="1"/>
      <c r="G495" s="15" t="s">
        <v>1554</v>
      </c>
      <c r="H495" s="2"/>
      <c r="I495" s="2"/>
      <c r="J495" s="2"/>
      <c r="K495" s="2"/>
      <c r="L495" s="2"/>
      <c r="M495" s="2"/>
      <c r="N495" s="2"/>
      <c r="O495" s="2"/>
      <c r="P495" s="2"/>
      <c r="Q495" s="2"/>
      <c r="R495" s="2"/>
      <c r="S495" s="2"/>
      <c r="T495" s="2"/>
      <c r="U495" s="2"/>
      <c r="V495" s="2"/>
      <c r="W495" s="2"/>
      <c r="X495" s="2"/>
    </row>
    <row r="496" spans="1:24" ht="63" x14ac:dyDescent="0.2">
      <c r="A496" s="16" t="str">
        <f>$C$4&amp;"-"&amp;TEXT(COUNTA($E$15:E496),"00")</f>
        <v>TC-454</v>
      </c>
      <c r="B496" s="15" t="s">
        <v>1555</v>
      </c>
      <c r="C496" s="15" t="s">
        <v>1556</v>
      </c>
      <c r="D496" s="15" t="s">
        <v>1557</v>
      </c>
      <c r="E496" s="15" t="s">
        <v>1558</v>
      </c>
      <c r="F496" s="1"/>
      <c r="G496" s="15" t="s">
        <v>1559</v>
      </c>
      <c r="H496" s="2"/>
      <c r="I496" s="2"/>
      <c r="J496" s="2"/>
      <c r="K496" s="2"/>
      <c r="L496" s="2"/>
      <c r="M496" s="2"/>
      <c r="N496" s="2"/>
      <c r="O496" s="2"/>
      <c r="P496" s="2"/>
      <c r="Q496" s="2"/>
      <c r="R496" s="2"/>
      <c r="S496" s="2"/>
      <c r="T496" s="2"/>
      <c r="U496" s="2"/>
      <c r="V496" s="2"/>
      <c r="W496" s="2"/>
      <c r="X496" s="2"/>
    </row>
    <row r="497" spans="1:24" ht="78.75" x14ac:dyDescent="0.2">
      <c r="A497" s="16" t="str">
        <f>$C$4&amp;"-"&amp;TEXT(COUNTA($E$15:E497),"00")</f>
        <v>TC-455</v>
      </c>
      <c r="B497" s="15" t="s">
        <v>1560</v>
      </c>
      <c r="C497" s="15" t="s">
        <v>1561</v>
      </c>
      <c r="D497" s="15" t="s">
        <v>1562</v>
      </c>
      <c r="E497" s="15" t="s">
        <v>1563</v>
      </c>
      <c r="F497" s="1"/>
      <c r="G497" s="15" t="s">
        <v>1564</v>
      </c>
      <c r="H497" s="2"/>
      <c r="I497" s="2"/>
      <c r="J497" s="2"/>
      <c r="K497" s="2"/>
      <c r="L497" s="2"/>
      <c r="M497" s="2"/>
      <c r="N497" s="2"/>
      <c r="O497" s="2"/>
      <c r="P497" s="2"/>
      <c r="Q497" s="2"/>
      <c r="R497" s="2"/>
      <c r="S497" s="2"/>
      <c r="T497" s="2"/>
      <c r="U497" s="2"/>
      <c r="V497" s="2"/>
      <c r="W497" s="2"/>
      <c r="X497" s="2"/>
    </row>
    <row r="498" spans="1:24" x14ac:dyDescent="0.2">
      <c r="A498" s="33" t="s">
        <v>1565</v>
      </c>
      <c r="B498" s="34"/>
      <c r="C498" s="34"/>
      <c r="D498" s="34"/>
      <c r="E498" s="34"/>
      <c r="F498" s="35"/>
      <c r="G498" s="15"/>
      <c r="H498" s="2"/>
      <c r="I498" s="2"/>
      <c r="J498" s="2"/>
      <c r="K498" s="2"/>
      <c r="L498" s="2"/>
      <c r="M498" s="2"/>
      <c r="N498" s="2"/>
      <c r="O498" s="2"/>
      <c r="P498" s="2"/>
      <c r="Q498" s="2"/>
      <c r="R498" s="2"/>
      <c r="S498" s="2"/>
      <c r="T498" s="2"/>
      <c r="U498" s="2"/>
      <c r="V498" s="2"/>
      <c r="W498" s="2"/>
      <c r="X498" s="2"/>
    </row>
    <row r="499" spans="1:24" ht="141.75" x14ac:dyDescent="0.2">
      <c r="A499" s="16" t="str">
        <f>$C$4&amp;"-"&amp;TEXT(COUNTA($E$15:E499),"00")</f>
        <v>TC-456</v>
      </c>
      <c r="B499" s="37" t="s">
        <v>1566</v>
      </c>
      <c r="C499" s="15" t="s">
        <v>1567</v>
      </c>
      <c r="D499" s="15" t="s">
        <v>1568</v>
      </c>
      <c r="E499" s="15" t="s">
        <v>1569</v>
      </c>
      <c r="F499" s="1"/>
      <c r="G499" s="15" t="s">
        <v>1570</v>
      </c>
      <c r="H499" s="2"/>
      <c r="I499" s="2"/>
      <c r="J499" s="2"/>
      <c r="K499" s="2"/>
      <c r="L499" s="2"/>
      <c r="M499" s="2"/>
      <c r="N499" s="2"/>
      <c r="O499" s="2"/>
      <c r="P499" s="2"/>
      <c r="Q499" s="2"/>
      <c r="R499" s="2"/>
      <c r="S499" s="2"/>
      <c r="T499" s="2"/>
      <c r="U499" s="2"/>
      <c r="V499" s="2"/>
      <c r="W499" s="2"/>
      <c r="X499" s="2"/>
    </row>
    <row r="500" spans="1:24" ht="63" x14ac:dyDescent="0.2">
      <c r="A500" s="16" t="str">
        <f>$C$4&amp;"-"&amp;TEXT(COUNTA($E$15:E500),"00")</f>
        <v>TC-457</v>
      </c>
      <c r="B500" s="31"/>
      <c r="C500" s="15" t="s">
        <v>1571</v>
      </c>
      <c r="D500" s="15" t="s">
        <v>1469</v>
      </c>
      <c r="E500" s="15" t="s">
        <v>1572</v>
      </c>
      <c r="F500" s="1"/>
      <c r="G500" s="15" t="s">
        <v>1573</v>
      </c>
      <c r="H500" s="2"/>
      <c r="I500" s="2"/>
      <c r="J500" s="2"/>
      <c r="K500" s="2"/>
      <c r="L500" s="2"/>
      <c r="M500" s="2"/>
      <c r="N500" s="2"/>
      <c r="O500" s="2"/>
      <c r="P500" s="2"/>
      <c r="Q500" s="2"/>
      <c r="R500" s="2"/>
      <c r="S500" s="2"/>
      <c r="T500" s="2"/>
      <c r="U500" s="2"/>
      <c r="V500" s="2"/>
      <c r="W500" s="2"/>
      <c r="X500" s="2"/>
    </row>
    <row r="501" spans="1:24" ht="47.25" x14ac:dyDescent="0.2">
      <c r="A501" s="16" t="str">
        <f>$C$4&amp;"-"&amp;TEXT(COUNTA($E$15:E501),"00")</f>
        <v>TC-458</v>
      </c>
      <c r="B501" s="31"/>
      <c r="C501" s="15" t="s">
        <v>1574</v>
      </c>
      <c r="D501" s="15" t="s">
        <v>1575</v>
      </c>
      <c r="E501" s="15" t="s">
        <v>1519</v>
      </c>
      <c r="F501" s="1"/>
      <c r="G501" s="15" t="s">
        <v>1520</v>
      </c>
      <c r="H501" s="2"/>
      <c r="I501" s="2"/>
      <c r="J501" s="2"/>
      <c r="K501" s="2"/>
      <c r="L501" s="2"/>
      <c r="M501" s="2"/>
      <c r="N501" s="2"/>
      <c r="O501" s="2"/>
      <c r="P501" s="2"/>
      <c r="Q501" s="2"/>
      <c r="R501" s="2"/>
      <c r="S501" s="2"/>
      <c r="T501" s="2"/>
      <c r="U501" s="2"/>
      <c r="V501" s="2"/>
      <c r="W501" s="2"/>
      <c r="X501" s="2"/>
    </row>
    <row r="502" spans="1:24" ht="126" x14ac:dyDescent="0.2">
      <c r="A502" s="16" t="str">
        <f>$C$4&amp;"-"&amp;TEXT(COUNTA($E$15:E502),"00")</f>
        <v>TC-459</v>
      </c>
      <c r="B502" s="32"/>
      <c r="C502" s="15" t="s">
        <v>1576</v>
      </c>
      <c r="D502" s="15" t="s">
        <v>1577</v>
      </c>
      <c r="E502" s="15" t="s">
        <v>1578</v>
      </c>
      <c r="F502" s="1"/>
      <c r="G502" s="15" t="s">
        <v>1579</v>
      </c>
      <c r="H502" s="2"/>
      <c r="I502" s="2"/>
      <c r="J502" s="2"/>
      <c r="K502" s="2"/>
      <c r="L502" s="2"/>
      <c r="M502" s="2"/>
      <c r="N502" s="2"/>
      <c r="O502" s="2"/>
      <c r="P502" s="2"/>
      <c r="Q502" s="2"/>
      <c r="R502" s="2"/>
      <c r="S502" s="2"/>
      <c r="T502" s="2"/>
      <c r="U502" s="2"/>
      <c r="V502" s="2"/>
      <c r="W502" s="2"/>
      <c r="X502" s="2"/>
    </row>
    <row r="503" spans="1:24" ht="141.75" x14ac:dyDescent="0.2">
      <c r="A503" s="16" t="str">
        <f>$C$4&amp;"-"&amp;TEXT(COUNTA($E$15:E503),"00")</f>
        <v>TC-460</v>
      </c>
      <c r="B503" s="37" t="s">
        <v>1580</v>
      </c>
      <c r="C503" s="15" t="s">
        <v>1581</v>
      </c>
      <c r="D503" s="15" t="s">
        <v>1582</v>
      </c>
      <c r="E503" s="15" t="s">
        <v>1583</v>
      </c>
      <c r="F503" s="1"/>
      <c r="G503" s="15" t="s">
        <v>1584</v>
      </c>
      <c r="H503" s="2"/>
      <c r="I503" s="2"/>
      <c r="J503" s="2"/>
      <c r="K503" s="2"/>
      <c r="L503" s="2"/>
      <c r="M503" s="2"/>
      <c r="N503" s="2"/>
      <c r="O503" s="2"/>
      <c r="P503" s="2"/>
      <c r="Q503" s="2"/>
      <c r="R503" s="2"/>
      <c r="S503" s="2"/>
      <c r="T503" s="2"/>
      <c r="U503" s="2"/>
      <c r="V503" s="2"/>
      <c r="W503" s="2"/>
      <c r="X503" s="2"/>
    </row>
    <row r="504" spans="1:24" ht="63" x14ac:dyDescent="0.2">
      <c r="A504" s="16" t="str">
        <f>$C$4&amp;"-"&amp;TEXT(COUNTA($E$15:E504),"00")</f>
        <v>TC-461</v>
      </c>
      <c r="B504" s="31"/>
      <c r="C504" s="15" t="s">
        <v>1585</v>
      </c>
      <c r="D504" s="15" t="s">
        <v>1469</v>
      </c>
      <c r="E504" s="15" t="s">
        <v>1535</v>
      </c>
      <c r="F504" s="1"/>
      <c r="G504" s="15" t="s">
        <v>1586</v>
      </c>
      <c r="H504" s="2"/>
      <c r="I504" s="2"/>
      <c r="J504" s="2"/>
      <c r="K504" s="2"/>
      <c r="L504" s="2"/>
      <c r="M504" s="2"/>
      <c r="N504" s="2"/>
      <c r="O504" s="2"/>
      <c r="P504" s="2"/>
      <c r="Q504" s="2"/>
      <c r="R504" s="2"/>
      <c r="S504" s="2"/>
      <c r="T504" s="2"/>
      <c r="U504" s="2"/>
      <c r="V504" s="2"/>
      <c r="W504" s="2"/>
      <c r="X504" s="2"/>
    </row>
    <row r="505" spans="1:24" ht="47.25" x14ac:dyDescent="0.2">
      <c r="A505" s="16" t="str">
        <f>$C$4&amp;"-"&amp;TEXT(COUNTA($E$15:E505),"00")</f>
        <v>TC-462</v>
      </c>
      <c r="B505" s="31"/>
      <c r="C505" s="15" t="s">
        <v>1587</v>
      </c>
      <c r="D505" s="15" t="s">
        <v>1588</v>
      </c>
      <c r="E505" s="15" t="s">
        <v>1519</v>
      </c>
      <c r="F505" s="1"/>
      <c r="G505" s="15" t="s">
        <v>1520</v>
      </c>
      <c r="H505" s="2"/>
      <c r="I505" s="2"/>
      <c r="J505" s="2"/>
      <c r="K505" s="2"/>
      <c r="L505" s="2"/>
      <c r="M505" s="2"/>
      <c r="N505" s="2"/>
      <c r="O505" s="2"/>
      <c r="P505" s="2"/>
      <c r="Q505" s="2"/>
      <c r="R505" s="2"/>
      <c r="S505" s="2"/>
      <c r="T505" s="2"/>
      <c r="U505" s="2"/>
      <c r="V505" s="2"/>
      <c r="W505" s="2"/>
      <c r="X505" s="2"/>
    </row>
    <row r="506" spans="1:24" ht="126" x14ac:dyDescent="0.2">
      <c r="A506" s="16" t="str">
        <f>$C$4&amp;"-"&amp;TEXT(COUNTA($E$15:E506),"00")</f>
        <v>TC-463</v>
      </c>
      <c r="B506" s="32"/>
      <c r="C506" s="15" t="s">
        <v>1589</v>
      </c>
      <c r="D506" s="15" t="s">
        <v>1590</v>
      </c>
      <c r="E506" s="15" t="s">
        <v>1591</v>
      </c>
      <c r="F506" s="1"/>
      <c r="G506" s="15" t="s">
        <v>1592</v>
      </c>
      <c r="H506" s="2"/>
      <c r="I506" s="2"/>
      <c r="J506" s="2"/>
      <c r="K506" s="2"/>
      <c r="L506" s="2"/>
      <c r="M506" s="2"/>
      <c r="N506" s="2"/>
      <c r="O506" s="2"/>
      <c r="P506" s="2"/>
      <c r="Q506" s="2"/>
      <c r="R506" s="2"/>
      <c r="S506" s="2"/>
      <c r="T506" s="2"/>
      <c r="U506" s="2"/>
      <c r="V506" s="2"/>
      <c r="W506" s="2"/>
      <c r="X506" s="2"/>
    </row>
    <row r="507" spans="1:24" ht="78.75" x14ac:dyDescent="0.2">
      <c r="A507" s="16" t="str">
        <f>$C$4&amp;"-"&amp;TEXT(COUNTA($E$15:E507),"00")</f>
        <v>TC-464</v>
      </c>
      <c r="B507" s="15" t="s">
        <v>1593</v>
      </c>
      <c r="C507" s="15" t="s">
        <v>1594</v>
      </c>
      <c r="D507" s="15" t="s">
        <v>1595</v>
      </c>
      <c r="E507" s="15" t="s">
        <v>1596</v>
      </c>
      <c r="F507" s="1"/>
      <c r="G507" s="15" t="s">
        <v>1597</v>
      </c>
      <c r="H507" s="2"/>
      <c r="I507" s="2"/>
      <c r="J507" s="2"/>
      <c r="K507" s="2"/>
      <c r="L507" s="2"/>
      <c r="M507" s="2"/>
      <c r="N507" s="2"/>
      <c r="O507" s="2"/>
      <c r="P507" s="2"/>
      <c r="Q507" s="2"/>
      <c r="R507" s="2"/>
      <c r="S507" s="2"/>
      <c r="T507" s="2"/>
      <c r="U507" s="2"/>
      <c r="V507" s="2"/>
      <c r="W507" s="2"/>
      <c r="X507" s="2"/>
    </row>
    <row r="508" spans="1:24" x14ac:dyDescent="0.2">
      <c r="A508" s="33" t="s">
        <v>1598</v>
      </c>
      <c r="B508" s="34"/>
      <c r="C508" s="34"/>
      <c r="D508" s="34"/>
      <c r="E508" s="34"/>
      <c r="F508" s="35"/>
      <c r="G508" s="15"/>
      <c r="H508" s="2"/>
      <c r="I508" s="2"/>
      <c r="J508" s="2"/>
      <c r="K508" s="2"/>
      <c r="L508" s="2"/>
      <c r="M508" s="2"/>
      <c r="N508" s="2"/>
      <c r="O508" s="2"/>
      <c r="P508" s="2"/>
      <c r="Q508" s="2"/>
      <c r="R508" s="2"/>
      <c r="S508" s="2"/>
      <c r="T508" s="2"/>
      <c r="U508" s="2"/>
      <c r="V508" s="2"/>
      <c r="W508" s="2"/>
      <c r="X508" s="2"/>
    </row>
    <row r="509" spans="1:24" ht="78.75" x14ac:dyDescent="0.2">
      <c r="A509" s="16" t="str">
        <f>$C$4&amp;"-"&amp;TEXT(COUNTA($E$15:E509),"00")</f>
        <v>TC-465</v>
      </c>
      <c r="B509" s="37" t="s">
        <v>1599</v>
      </c>
      <c r="C509" s="15" t="s">
        <v>1600</v>
      </c>
      <c r="D509" s="15" t="s">
        <v>1601</v>
      </c>
      <c r="E509" s="15" t="s">
        <v>1602</v>
      </c>
      <c r="F509" s="1"/>
      <c r="G509" s="15" t="s">
        <v>1603</v>
      </c>
      <c r="H509" s="2"/>
      <c r="I509" s="2"/>
      <c r="J509" s="2"/>
      <c r="K509" s="2"/>
      <c r="L509" s="2"/>
      <c r="M509" s="2"/>
      <c r="N509" s="2"/>
      <c r="O509" s="2"/>
      <c r="P509" s="2"/>
      <c r="Q509" s="2"/>
      <c r="R509" s="2"/>
      <c r="S509" s="2"/>
      <c r="T509" s="2"/>
      <c r="U509" s="2"/>
      <c r="V509" s="2"/>
      <c r="W509" s="2"/>
      <c r="X509" s="2"/>
    </row>
    <row r="510" spans="1:24" ht="63" x14ac:dyDescent="0.2">
      <c r="A510" s="16" t="str">
        <f>$C$4&amp;"-"&amp;TEXT(COUNTA($E$15:E510),"00")</f>
        <v>TC-466</v>
      </c>
      <c r="B510" s="32"/>
      <c r="C510" s="15" t="s">
        <v>1604</v>
      </c>
      <c r="D510" s="15" t="s">
        <v>1605</v>
      </c>
      <c r="E510" s="15" t="s">
        <v>1606</v>
      </c>
      <c r="F510" s="1"/>
      <c r="G510" s="15" t="s">
        <v>1607</v>
      </c>
      <c r="H510" s="2"/>
      <c r="I510" s="2"/>
      <c r="J510" s="2"/>
      <c r="K510" s="2"/>
      <c r="L510" s="2"/>
      <c r="M510" s="2"/>
      <c r="N510" s="2"/>
      <c r="O510" s="2"/>
      <c r="P510" s="2"/>
      <c r="Q510" s="2"/>
      <c r="R510" s="2"/>
      <c r="S510" s="2"/>
      <c r="T510" s="2"/>
      <c r="U510" s="2"/>
      <c r="V510" s="2"/>
      <c r="W510" s="2"/>
      <c r="X510" s="2"/>
    </row>
    <row r="511" spans="1:24" ht="78.75" x14ac:dyDescent="0.2">
      <c r="A511" s="16" t="str">
        <f>$C$4&amp;"-"&amp;TEXT(COUNTA($E$15:E511),"00")</f>
        <v>TC-467</v>
      </c>
      <c r="B511" s="15" t="s">
        <v>1608</v>
      </c>
      <c r="C511" s="15" t="s">
        <v>1609</v>
      </c>
      <c r="D511" s="15" t="s">
        <v>1610</v>
      </c>
      <c r="E511" s="15" t="s">
        <v>1611</v>
      </c>
      <c r="F511" s="1"/>
      <c r="G511" s="15" t="s">
        <v>1612</v>
      </c>
      <c r="H511" s="2"/>
      <c r="I511" s="2"/>
      <c r="J511" s="2"/>
      <c r="K511" s="2"/>
      <c r="L511" s="2"/>
      <c r="M511" s="2"/>
      <c r="N511" s="2"/>
      <c r="O511" s="2"/>
      <c r="P511" s="2"/>
      <c r="Q511" s="2"/>
      <c r="R511" s="2"/>
      <c r="S511" s="2"/>
      <c r="T511" s="2"/>
      <c r="U511" s="2"/>
      <c r="V511" s="2"/>
      <c r="W511" s="2"/>
      <c r="X511" s="2"/>
    </row>
    <row r="512" spans="1:24" ht="31.5" x14ac:dyDescent="0.2">
      <c r="A512" s="16" t="str">
        <f>$C$4&amp;"-"&amp;TEXT(COUNTA($E$15:E512),"00")</f>
        <v>TC-468</v>
      </c>
      <c r="B512" s="37" t="s">
        <v>1613</v>
      </c>
      <c r="C512" s="15" t="s">
        <v>444</v>
      </c>
      <c r="D512" s="15" t="s">
        <v>1614</v>
      </c>
      <c r="E512" s="15" t="s">
        <v>1611</v>
      </c>
      <c r="F512" s="1"/>
      <c r="G512" s="15" t="s">
        <v>1615</v>
      </c>
      <c r="H512" s="2"/>
      <c r="I512" s="2"/>
      <c r="J512" s="2"/>
      <c r="K512" s="2"/>
      <c r="L512" s="2"/>
      <c r="M512" s="2"/>
      <c r="N512" s="2"/>
      <c r="O512" s="2"/>
      <c r="P512" s="2"/>
      <c r="Q512" s="2"/>
      <c r="R512" s="2"/>
      <c r="S512" s="2"/>
      <c r="T512" s="2"/>
      <c r="U512" s="2"/>
      <c r="V512" s="2"/>
      <c r="W512" s="2"/>
      <c r="X512" s="2"/>
    </row>
    <row r="513" spans="1:24" ht="47.25" x14ac:dyDescent="0.2">
      <c r="A513" s="16" t="str">
        <f>$C$4&amp;"-"&amp;TEXT(COUNTA($E$15:E513),"00")</f>
        <v>TC-469</v>
      </c>
      <c r="B513" s="32"/>
      <c r="C513" s="15" t="s">
        <v>1616</v>
      </c>
      <c r="D513" s="15" t="s">
        <v>1617</v>
      </c>
      <c r="E513" s="15" t="s">
        <v>1618</v>
      </c>
      <c r="F513" s="1"/>
      <c r="G513" s="15" t="s">
        <v>1619</v>
      </c>
      <c r="H513" s="2"/>
      <c r="I513" s="2"/>
      <c r="J513" s="2"/>
      <c r="K513" s="2"/>
      <c r="L513" s="2"/>
      <c r="M513" s="2"/>
      <c r="N513" s="2"/>
      <c r="O513" s="2"/>
      <c r="P513" s="2"/>
      <c r="Q513" s="2"/>
      <c r="R513" s="2"/>
      <c r="S513" s="2"/>
      <c r="T513" s="2"/>
      <c r="U513" s="2"/>
      <c r="V513" s="2"/>
      <c r="W513" s="2"/>
      <c r="X513" s="2"/>
    </row>
    <row r="514" spans="1:24" ht="63" x14ac:dyDescent="0.2">
      <c r="A514" s="16" t="str">
        <f>$C$4&amp;"-"&amp;TEXT(COUNTA($E$15:E514),"00")</f>
        <v>TC-470</v>
      </c>
      <c r="B514" s="15" t="s">
        <v>1620</v>
      </c>
      <c r="C514" s="15" t="s">
        <v>1621</v>
      </c>
      <c r="D514" s="15" t="s">
        <v>1622</v>
      </c>
      <c r="E514" s="15" t="s">
        <v>1623</v>
      </c>
      <c r="F514" s="1"/>
      <c r="G514" s="15" t="s">
        <v>1624</v>
      </c>
      <c r="H514" s="2"/>
      <c r="I514" s="2"/>
      <c r="J514" s="2"/>
      <c r="K514" s="2"/>
      <c r="L514" s="2"/>
      <c r="M514" s="2"/>
      <c r="N514" s="2"/>
      <c r="O514" s="2"/>
      <c r="P514" s="2"/>
      <c r="Q514" s="2"/>
      <c r="R514" s="2"/>
      <c r="S514" s="2"/>
      <c r="T514" s="2"/>
      <c r="U514" s="2"/>
      <c r="V514" s="2"/>
      <c r="W514" s="2"/>
      <c r="X514" s="2"/>
    </row>
    <row r="515" spans="1:24" ht="47.25" x14ac:dyDescent="0.2">
      <c r="A515" s="16" t="str">
        <f>$C$4&amp;"-"&amp;TEXT(COUNTA($E$15:E515),"00")</f>
        <v>TC-471</v>
      </c>
      <c r="B515" s="15" t="s">
        <v>1625</v>
      </c>
      <c r="C515" s="15" t="s">
        <v>1626</v>
      </c>
      <c r="D515" s="15" t="s">
        <v>1627</v>
      </c>
      <c r="E515" s="15" t="s">
        <v>1628</v>
      </c>
      <c r="F515" s="1"/>
      <c r="G515" s="15" t="s">
        <v>1629</v>
      </c>
      <c r="H515" s="2"/>
      <c r="I515" s="2"/>
      <c r="J515" s="2"/>
      <c r="K515" s="2"/>
      <c r="L515" s="2"/>
      <c r="M515" s="2"/>
      <c r="N515" s="2"/>
      <c r="O515" s="2"/>
      <c r="P515" s="2"/>
      <c r="Q515" s="2"/>
      <c r="R515" s="2"/>
      <c r="S515" s="2"/>
      <c r="T515" s="2"/>
      <c r="U515" s="2"/>
      <c r="V515" s="2"/>
      <c r="W515" s="2"/>
      <c r="X515" s="2"/>
    </row>
    <row r="516" spans="1:24" ht="47.25" x14ac:dyDescent="0.2">
      <c r="A516" s="16" t="str">
        <f>$C$4&amp;"-"&amp;TEXT(COUNTA($E$15:E516),"00")</f>
        <v>TC-472</v>
      </c>
      <c r="B516" s="15" t="s">
        <v>1630</v>
      </c>
      <c r="C516" s="15" t="s">
        <v>1631</v>
      </c>
      <c r="D516" s="15" t="s">
        <v>1632</v>
      </c>
      <c r="E516" s="15" t="s">
        <v>1633</v>
      </c>
      <c r="F516" s="1"/>
      <c r="G516" s="15" t="s">
        <v>1634</v>
      </c>
      <c r="H516" s="2"/>
      <c r="I516" s="2"/>
      <c r="J516" s="2"/>
      <c r="K516" s="2"/>
      <c r="L516" s="2"/>
      <c r="M516" s="2"/>
      <c r="N516" s="2"/>
      <c r="O516" s="2"/>
      <c r="P516" s="2"/>
      <c r="Q516" s="2"/>
      <c r="R516" s="2"/>
      <c r="S516" s="2"/>
      <c r="T516" s="2"/>
      <c r="U516" s="2"/>
      <c r="V516" s="2"/>
      <c r="W516" s="2"/>
      <c r="X516" s="2"/>
    </row>
    <row r="517" spans="1:24" x14ac:dyDescent="0.2">
      <c r="A517" s="33" t="s">
        <v>1134</v>
      </c>
      <c r="B517" s="34"/>
      <c r="C517" s="34"/>
      <c r="D517" s="34"/>
      <c r="E517" s="34"/>
      <c r="F517" s="35"/>
      <c r="G517" s="15"/>
      <c r="H517" s="2"/>
      <c r="I517" s="2"/>
      <c r="J517" s="2"/>
      <c r="K517" s="2"/>
      <c r="L517" s="2"/>
      <c r="M517" s="2"/>
      <c r="N517" s="2"/>
      <c r="O517" s="2"/>
      <c r="P517" s="2"/>
      <c r="Q517" s="2"/>
      <c r="R517" s="2"/>
      <c r="S517" s="2"/>
      <c r="T517" s="2"/>
      <c r="U517" s="2"/>
      <c r="V517" s="2"/>
      <c r="W517" s="2"/>
      <c r="X517" s="2"/>
    </row>
    <row r="518" spans="1:24" ht="78.75" x14ac:dyDescent="0.2">
      <c r="A518" s="16" t="str">
        <f>$C$4&amp;"-"&amp;TEXT(COUNTA($E$15:E518),"00")</f>
        <v>TC-473</v>
      </c>
      <c r="B518" s="37" t="s">
        <v>1635</v>
      </c>
      <c r="C518" s="15" t="s">
        <v>1636</v>
      </c>
      <c r="D518" s="15" t="s">
        <v>1637</v>
      </c>
      <c r="E518" s="15" t="s">
        <v>1638</v>
      </c>
      <c r="F518" s="1"/>
      <c r="G518" s="15" t="s">
        <v>1639</v>
      </c>
      <c r="H518" s="2"/>
      <c r="I518" s="2"/>
      <c r="J518" s="2"/>
      <c r="K518" s="2"/>
      <c r="L518" s="2"/>
      <c r="M518" s="2"/>
      <c r="N518" s="2"/>
      <c r="O518" s="2"/>
      <c r="P518" s="2"/>
      <c r="Q518" s="2"/>
      <c r="R518" s="2"/>
      <c r="S518" s="2"/>
      <c r="T518" s="2"/>
      <c r="U518" s="2"/>
      <c r="V518" s="2"/>
      <c r="W518" s="2"/>
      <c r="X518" s="2"/>
    </row>
    <row r="519" spans="1:24" ht="31.5" x14ac:dyDescent="0.2">
      <c r="A519" s="16" t="str">
        <f>$C$4&amp;"-"&amp;TEXT(COUNTA($E$15:E519),"00")</f>
        <v>TC-474</v>
      </c>
      <c r="B519" s="31"/>
      <c r="C519" s="15" t="s">
        <v>1640</v>
      </c>
      <c r="D519" s="15" t="s">
        <v>1641</v>
      </c>
      <c r="E519" s="15" t="s">
        <v>1642</v>
      </c>
      <c r="F519" s="1"/>
      <c r="G519" s="15" t="s">
        <v>1643</v>
      </c>
      <c r="H519" s="2"/>
      <c r="I519" s="2"/>
      <c r="J519" s="2"/>
      <c r="K519" s="2"/>
      <c r="L519" s="2"/>
      <c r="M519" s="2"/>
      <c r="N519" s="2"/>
      <c r="O519" s="2"/>
      <c r="P519" s="2"/>
      <c r="Q519" s="2"/>
      <c r="R519" s="2"/>
      <c r="S519" s="2"/>
      <c r="T519" s="2"/>
      <c r="U519" s="2"/>
      <c r="V519" s="2"/>
      <c r="W519" s="2"/>
      <c r="X519" s="2"/>
    </row>
    <row r="520" spans="1:24" ht="31.5" x14ac:dyDescent="0.2">
      <c r="A520" s="16" t="str">
        <f>$C$4&amp;"-"&amp;TEXT(COUNTA($E$15:E520),"00")</f>
        <v>TC-475</v>
      </c>
      <c r="B520" s="32"/>
      <c r="C520" s="15" t="s">
        <v>1644</v>
      </c>
      <c r="D520" s="15" t="s">
        <v>1645</v>
      </c>
      <c r="E520" s="15" t="s">
        <v>1646</v>
      </c>
      <c r="F520" s="1"/>
      <c r="G520" s="15" t="s">
        <v>1647</v>
      </c>
      <c r="H520" s="2"/>
      <c r="I520" s="2"/>
      <c r="J520" s="2"/>
      <c r="K520" s="2"/>
      <c r="L520" s="2"/>
      <c r="M520" s="2"/>
      <c r="N520" s="2"/>
      <c r="O520" s="2"/>
      <c r="P520" s="2"/>
      <c r="Q520" s="2"/>
      <c r="R520" s="2"/>
      <c r="S520" s="2"/>
      <c r="T520" s="2"/>
      <c r="U520" s="2"/>
      <c r="V520" s="2"/>
      <c r="W520" s="2"/>
      <c r="X520" s="2"/>
    </row>
    <row r="521" spans="1:24" ht="94.5" x14ac:dyDescent="0.2">
      <c r="A521" s="16" t="str">
        <f>$C$4&amp;"-"&amp;TEXT(COUNTA($E$15:E521),"00")</f>
        <v>TC-476</v>
      </c>
      <c r="B521" s="37" t="s">
        <v>1319</v>
      </c>
      <c r="C521" s="15" t="s">
        <v>1648</v>
      </c>
      <c r="D521" s="15" t="s">
        <v>1649</v>
      </c>
      <c r="E521" s="15" t="s">
        <v>1650</v>
      </c>
      <c r="F521" s="1"/>
      <c r="G521" s="15" t="s">
        <v>1651</v>
      </c>
      <c r="H521" s="2"/>
      <c r="I521" s="2"/>
      <c r="J521" s="2"/>
      <c r="K521" s="2"/>
      <c r="L521" s="2"/>
      <c r="M521" s="2"/>
      <c r="N521" s="2"/>
      <c r="O521" s="2"/>
      <c r="P521" s="2"/>
      <c r="Q521" s="2"/>
      <c r="R521" s="2"/>
      <c r="S521" s="2"/>
      <c r="T521" s="2"/>
      <c r="U521" s="2"/>
      <c r="V521" s="2"/>
      <c r="W521" s="2"/>
      <c r="X521" s="2"/>
    </row>
    <row r="522" spans="1:24" ht="78.75" x14ac:dyDescent="0.2">
      <c r="A522" s="16" t="str">
        <f>$C$4&amp;"-"&amp;TEXT(COUNTA($E$15:E522),"00")</f>
        <v>TC-477</v>
      </c>
      <c r="B522" s="32"/>
      <c r="C522" s="15" t="s">
        <v>1652</v>
      </c>
      <c r="D522" s="15" t="s">
        <v>1653</v>
      </c>
      <c r="E522" s="15" t="s">
        <v>1654</v>
      </c>
      <c r="F522" s="1"/>
      <c r="G522" s="15" t="s">
        <v>1651</v>
      </c>
      <c r="H522" s="2"/>
      <c r="I522" s="2"/>
      <c r="J522" s="2"/>
      <c r="K522" s="2"/>
      <c r="L522" s="2"/>
      <c r="M522" s="2"/>
      <c r="N522" s="2"/>
      <c r="O522" s="2"/>
      <c r="P522" s="2"/>
      <c r="Q522" s="2"/>
      <c r="R522" s="2"/>
      <c r="S522" s="2"/>
      <c r="T522" s="2"/>
      <c r="U522" s="2"/>
      <c r="V522" s="2"/>
      <c r="W522" s="2"/>
      <c r="X522" s="2"/>
    </row>
    <row r="523" spans="1:24" ht="94.5" x14ac:dyDescent="0.2">
      <c r="A523" s="16" t="str">
        <f>$C$4&amp;"-"&amp;TEXT(COUNTA($E$15:E523),"00")</f>
        <v>TC-478</v>
      </c>
      <c r="B523" s="37" t="s">
        <v>1312</v>
      </c>
      <c r="C523" s="15" t="s">
        <v>1655</v>
      </c>
      <c r="D523" s="15" t="s">
        <v>1656</v>
      </c>
      <c r="E523" s="15" t="s">
        <v>1657</v>
      </c>
      <c r="F523" s="1"/>
      <c r="G523" s="15" t="s">
        <v>1658</v>
      </c>
      <c r="H523" s="2"/>
      <c r="I523" s="2"/>
      <c r="J523" s="2"/>
      <c r="K523" s="2"/>
      <c r="L523" s="2"/>
      <c r="M523" s="2"/>
      <c r="N523" s="2"/>
      <c r="O523" s="2"/>
      <c r="P523" s="2"/>
      <c r="Q523" s="2"/>
      <c r="R523" s="2"/>
      <c r="S523" s="2"/>
      <c r="T523" s="2"/>
      <c r="U523" s="2"/>
      <c r="V523" s="2"/>
      <c r="W523" s="2"/>
      <c r="X523" s="2"/>
    </row>
    <row r="524" spans="1:24" ht="78.75" x14ac:dyDescent="0.2">
      <c r="A524" s="16" t="str">
        <f>$C$4&amp;"-"&amp;TEXT(COUNTA($E$15:E524),"00")</f>
        <v>TC-479</v>
      </c>
      <c r="B524" s="31"/>
      <c r="C524" s="15" t="s">
        <v>1659</v>
      </c>
      <c r="D524" s="15" t="s">
        <v>1660</v>
      </c>
      <c r="E524" s="15" t="s">
        <v>1661</v>
      </c>
      <c r="F524" s="1"/>
      <c r="G524" s="15" t="s">
        <v>1662</v>
      </c>
      <c r="H524" s="2"/>
      <c r="I524" s="2"/>
      <c r="J524" s="2"/>
      <c r="K524" s="2"/>
      <c r="L524" s="2"/>
      <c r="M524" s="2"/>
      <c r="N524" s="2"/>
      <c r="O524" s="2"/>
      <c r="P524" s="2"/>
      <c r="Q524" s="2"/>
      <c r="R524" s="2"/>
      <c r="S524" s="2"/>
      <c r="T524" s="2"/>
      <c r="U524" s="2"/>
      <c r="V524" s="2"/>
      <c r="W524" s="2"/>
      <c r="X524" s="2"/>
    </row>
    <row r="525" spans="1:24" ht="94.5" x14ac:dyDescent="0.2">
      <c r="A525" s="16" t="str">
        <f>$C$4&amp;"-"&amp;TEXT(COUNTA($E$15:E525),"00")</f>
        <v>TC-480</v>
      </c>
      <c r="B525" s="32"/>
      <c r="C525" s="15" t="s">
        <v>1663</v>
      </c>
      <c r="D525" s="15" t="s">
        <v>1664</v>
      </c>
      <c r="E525" s="15" t="s">
        <v>1665</v>
      </c>
      <c r="F525" s="1"/>
      <c r="G525" s="15" t="s">
        <v>1666</v>
      </c>
      <c r="H525" s="2"/>
      <c r="I525" s="2"/>
      <c r="J525" s="2"/>
      <c r="K525" s="2"/>
      <c r="L525" s="2"/>
      <c r="M525" s="2"/>
      <c r="N525" s="2"/>
      <c r="O525" s="2"/>
      <c r="P525" s="2"/>
      <c r="Q525" s="2"/>
      <c r="R525" s="2"/>
      <c r="S525" s="2"/>
      <c r="T525" s="2"/>
      <c r="U525" s="2"/>
      <c r="V525" s="2"/>
      <c r="W525" s="2"/>
      <c r="X525" s="2"/>
    </row>
    <row r="526" spans="1:24" ht="78.75" x14ac:dyDescent="0.2">
      <c r="A526" s="16" t="str">
        <f>$C$4&amp;"-"&amp;TEXT(COUNTA($E$15:E526),"00")</f>
        <v>TC-481</v>
      </c>
      <c r="B526" s="15" t="s">
        <v>1667</v>
      </c>
      <c r="C526" s="15" t="s">
        <v>1668</v>
      </c>
      <c r="D526" s="15" t="s">
        <v>1669</v>
      </c>
      <c r="E526" s="15" t="s">
        <v>1670</v>
      </c>
      <c r="F526" s="1"/>
      <c r="G526" s="15" t="s">
        <v>1671</v>
      </c>
      <c r="H526" s="2"/>
      <c r="I526" s="2"/>
      <c r="J526" s="2"/>
      <c r="K526" s="2"/>
      <c r="L526" s="2"/>
      <c r="M526" s="2"/>
      <c r="N526" s="2"/>
      <c r="O526" s="2"/>
      <c r="P526" s="2"/>
      <c r="Q526" s="2"/>
      <c r="R526" s="2"/>
      <c r="S526" s="2"/>
      <c r="T526" s="2"/>
      <c r="U526" s="2"/>
      <c r="V526" s="2"/>
      <c r="W526" s="2"/>
      <c r="X526" s="2"/>
    </row>
    <row r="527" spans="1:24" ht="31.5" x14ac:dyDescent="0.2">
      <c r="A527" s="16" t="str">
        <f>$C$4&amp;"-"&amp;TEXT(COUNTA($E$15:E527),"00")</f>
        <v>TC-482</v>
      </c>
      <c r="B527" s="37" t="s">
        <v>1672</v>
      </c>
      <c r="C527" s="15" t="s">
        <v>1673</v>
      </c>
      <c r="D527" s="15" t="s">
        <v>1674</v>
      </c>
      <c r="E527" s="15" t="s">
        <v>1675</v>
      </c>
      <c r="F527" s="1"/>
      <c r="G527" s="15" t="s">
        <v>1676</v>
      </c>
      <c r="H527" s="2"/>
      <c r="I527" s="2"/>
      <c r="J527" s="2"/>
      <c r="K527" s="2"/>
      <c r="L527" s="2"/>
      <c r="M527" s="2"/>
      <c r="N527" s="2"/>
      <c r="O527" s="2"/>
      <c r="P527" s="2"/>
      <c r="Q527" s="2"/>
      <c r="R527" s="2"/>
      <c r="S527" s="2"/>
      <c r="T527" s="2"/>
      <c r="U527" s="2"/>
      <c r="V527" s="2"/>
      <c r="W527" s="2"/>
      <c r="X527" s="2"/>
    </row>
    <row r="528" spans="1:24" ht="63" x14ac:dyDescent="0.2">
      <c r="A528" s="16" t="str">
        <f>$C$4&amp;"-"&amp;TEXT(COUNTA($E$15:E528),"00")</f>
        <v>TC-483</v>
      </c>
      <c r="B528" s="32"/>
      <c r="C528" s="15" t="s">
        <v>1677</v>
      </c>
      <c r="D528" s="15" t="s">
        <v>1678</v>
      </c>
      <c r="E528" s="15" t="s">
        <v>1679</v>
      </c>
      <c r="F528" s="1"/>
      <c r="G528" s="15" t="s">
        <v>1680</v>
      </c>
      <c r="H528" s="2"/>
      <c r="I528" s="2"/>
      <c r="J528" s="2"/>
      <c r="K528" s="2"/>
      <c r="L528" s="2"/>
      <c r="M528" s="2"/>
      <c r="N528" s="2"/>
      <c r="O528" s="2"/>
      <c r="P528" s="2"/>
      <c r="Q528" s="2"/>
      <c r="R528" s="2"/>
      <c r="S528" s="2"/>
      <c r="T528" s="2"/>
      <c r="U528" s="2"/>
      <c r="V528" s="2"/>
      <c r="W528" s="2"/>
      <c r="X528" s="2"/>
    </row>
    <row r="529" spans="1:24" ht="31.5" x14ac:dyDescent="0.2">
      <c r="A529" s="16" t="str">
        <f>$C$4&amp;"-"&amp;TEXT(COUNTA($E$15:E529),"00")</f>
        <v>TC-484</v>
      </c>
      <c r="B529" s="15" t="s">
        <v>1681</v>
      </c>
      <c r="C529" s="15" t="s">
        <v>1682</v>
      </c>
      <c r="D529" s="15" t="s">
        <v>1683</v>
      </c>
      <c r="E529" s="15" t="s">
        <v>1684</v>
      </c>
      <c r="F529" s="1"/>
      <c r="G529" s="15" t="s">
        <v>1685</v>
      </c>
      <c r="H529" s="2"/>
      <c r="I529" s="2"/>
      <c r="J529" s="2"/>
      <c r="K529" s="2"/>
      <c r="L529" s="2"/>
      <c r="M529" s="2"/>
      <c r="N529" s="2"/>
      <c r="O529" s="2"/>
      <c r="P529" s="2"/>
      <c r="Q529" s="2"/>
      <c r="R529" s="2"/>
      <c r="S529" s="2"/>
      <c r="T529" s="2"/>
      <c r="U529" s="2"/>
      <c r="V529" s="2"/>
      <c r="W529" s="2"/>
      <c r="X529" s="2"/>
    </row>
    <row r="530" spans="1:24" ht="78.75" x14ac:dyDescent="0.2">
      <c r="A530" s="16" t="str">
        <f>$C$4&amp;"-"&amp;TEXT(COUNTA($E$15:E530),"00")</f>
        <v>TC-485</v>
      </c>
      <c r="B530" s="15" t="s">
        <v>1686</v>
      </c>
      <c r="C530" s="15" t="s">
        <v>1687</v>
      </c>
      <c r="D530" s="15" t="s">
        <v>1688</v>
      </c>
      <c r="E530" s="15" t="s">
        <v>1689</v>
      </c>
      <c r="F530" s="1"/>
      <c r="G530" s="15" t="s">
        <v>1690</v>
      </c>
      <c r="H530" s="2"/>
      <c r="I530" s="2"/>
      <c r="J530" s="2"/>
      <c r="K530" s="2"/>
      <c r="L530" s="2"/>
      <c r="M530" s="2"/>
      <c r="N530" s="2"/>
      <c r="O530" s="2"/>
      <c r="P530" s="2"/>
      <c r="Q530" s="2"/>
      <c r="R530" s="2"/>
      <c r="S530" s="2"/>
      <c r="T530" s="2"/>
      <c r="U530" s="2"/>
      <c r="V530" s="2"/>
      <c r="W530" s="2"/>
      <c r="X530" s="2"/>
    </row>
    <row r="531" spans="1:24" ht="78.75" x14ac:dyDescent="0.2">
      <c r="A531" s="16" t="str">
        <f>$C$4&amp;"-"&amp;TEXT(COUNTA($E$15:E531),"00")</f>
        <v>TC-486</v>
      </c>
      <c r="B531" s="37" t="s">
        <v>1691</v>
      </c>
      <c r="C531" s="15" t="s">
        <v>1692</v>
      </c>
      <c r="D531" s="15" t="s">
        <v>1693</v>
      </c>
      <c r="E531" s="15" t="s">
        <v>1694</v>
      </c>
      <c r="F531" s="1"/>
      <c r="G531" s="15" t="s">
        <v>1695</v>
      </c>
      <c r="H531" s="2"/>
      <c r="I531" s="2"/>
      <c r="J531" s="2"/>
      <c r="K531" s="2"/>
      <c r="L531" s="2"/>
      <c r="M531" s="2"/>
      <c r="N531" s="2"/>
      <c r="O531" s="2"/>
      <c r="P531" s="2"/>
      <c r="Q531" s="2"/>
      <c r="R531" s="2"/>
      <c r="S531" s="2"/>
      <c r="T531" s="2"/>
      <c r="U531" s="2"/>
      <c r="V531" s="2"/>
      <c r="W531" s="2"/>
      <c r="X531" s="2"/>
    </row>
    <row r="532" spans="1:24" ht="47.25" x14ac:dyDescent="0.2">
      <c r="A532" s="16" t="str">
        <f>$C$4&amp;"-"&amp;TEXT(COUNTA($E$15:E532),"00")</f>
        <v>TC-487</v>
      </c>
      <c r="B532" s="32"/>
      <c r="C532" s="15" t="s">
        <v>1696</v>
      </c>
      <c r="D532" s="15" t="s">
        <v>1697</v>
      </c>
      <c r="E532" s="15" t="s">
        <v>1698</v>
      </c>
      <c r="F532" s="1"/>
      <c r="G532" s="15" t="s">
        <v>1699</v>
      </c>
      <c r="H532" s="2"/>
      <c r="I532" s="2"/>
      <c r="J532" s="2"/>
      <c r="K532" s="2"/>
      <c r="L532" s="2"/>
      <c r="M532" s="2"/>
      <c r="N532" s="2"/>
      <c r="O532" s="2"/>
      <c r="P532" s="2"/>
      <c r="Q532" s="2"/>
      <c r="R532" s="2"/>
      <c r="S532" s="2"/>
      <c r="T532" s="2"/>
      <c r="U532" s="2"/>
      <c r="V532" s="2"/>
      <c r="W532" s="2"/>
      <c r="X532" s="2"/>
    </row>
    <row r="533" spans="1:24" ht="63" x14ac:dyDescent="0.2">
      <c r="A533" s="16" t="str">
        <f>$C$4&amp;"-"&amp;TEXT(COUNTA($E$15:E533),"00")</f>
        <v>TC-488</v>
      </c>
      <c r="B533" s="37" t="s">
        <v>1700</v>
      </c>
      <c r="C533" s="15" t="s">
        <v>1701</v>
      </c>
      <c r="D533" s="15" t="s">
        <v>1702</v>
      </c>
      <c r="E533" s="15" t="s">
        <v>1703</v>
      </c>
      <c r="F533" s="1"/>
      <c r="G533" s="15" t="s">
        <v>1704</v>
      </c>
      <c r="H533" s="2"/>
      <c r="I533" s="2"/>
      <c r="J533" s="2"/>
      <c r="K533" s="2"/>
      <c r="L533" s="2"/>
      <c r="M533" s="2"/>
      <c r="N533" s="2"/>
      <c r="O533" s="2"/>
      <c r="P533" s="2"/>
      <c r="Q533" s="2"/>
      <c r="R533" s="2"/>
      <c r="S533" s="2"/>
      <c r="T533" s="2"/>
      <c r="U533" s="2"/>
      <c r="V533" s="2"/>
      <c r="W533" s="2"/>
      <c r="X533" s="2"/>
    </row>
    <row r="534" spans="1:24" ht="47.25" x14ac:dyDescent="0.2">
      <c r="A534" s="16" t="str">
        <f>$C$4&amp;"-"&amp;TEXT(COUNTA($E$15:E534),"00")</f>
        <v>TC-489</v>
      </c>
      <c r="B534" s="32"/>
      <c r="C534" s="15" t="s">
        <v>1705</v>
      </c>
      <c r="D534" s="15" t="s">
        <v>1706</v>
      </c>
      <c r="E534" s="15" t="s">
        <v>1707</v>
      </c>
      <c r="F534" s="1"/>
      <c r="G534" s="15" t="s">
        <v>1704</v>
      </c>
      <c r="H534" s="2"/>
      <c r="I534" s="2"/>
      <c r="J534" s="2"/>
      <c r="K534" s="2"/>
      <c r="L534" s="2"/>
      <c r="M534" s="2"/>
      <c r="N534" s="2"/>
      <c r="O534" s="2"/>
      <c r="P534" s="2"/>
      <c r="Q534" s="2"/>
      <c r="R534" s="2"/>
      <c r="S534" s="2"/>
      <c r="T534" s="2"/>
      <c r="U534" s="2"/>
      <c r="V534" s="2"/>
      <c r="W534" s="2"/>
      <c r="X534" s="2"/>
    </row>
    <row r="535" spans="1:24" ht="63" x14ac:dyDescent="0.2">
      <c r="A535" s="16" t="str">
        <f>$C$4&amp;"-"&amp;TEXT(COUNTA($E$15:E535),"00")</f>
        <v>TC-490</v>
      </c>
      <c r="B535" s="15" t="s">
        <v>1708</v>
      </c>
      <c r="C535" s="15" t="s">
        <v>1709</v>
      </c>
      <c r="D535" s="15" t="s">
        <v>1710</v>
      </c>
      <c r="E535" s="15" t="s">
        <v>1711</v>
      </c>
      <c r="F535" s="1"/>
      <c r="G535" s="15" t="s">
        <v>1712</v>
      </c>
      <c r="H535" s="2"/>
      <c r="I535" s="2"/>
      <c r="J535" s="2"/>
      <c r="K535" s="2"/>
      <c r="L535" s="2"/>
      <c r="M535" s="2"/>
      <c r="N535" s="2"/>
      <c r="O535" s="2"/>
      <c r="P535" s="2"/>
      <c r="Q535" s="2"/>
      <c r="R535" s="2"/>
      <c r="S535" s="2"/>
      <c r="T535" s="2"/>
      <c r="U535" s="2"/>
      <c r="V535" s="2"/>
      <c r="W535" s="2"/>
      <c r="X535" s="2"/>
    </row>
    <row r="536" spans="1:24" ht="63" x14ac:dyDescent="0.2">
      <c r="A536" s="16" t="str">
        <f>$C$4&amp;"-"&amp;TEXT(COUNTA($E$15:E536),"00")</f>
        <v>TC-491</v>
      </c>
      <c r="B536" s="37" t="s">
        <v>782</v>
      </c>
      <c r="C536" s="15" t="s">
        <v>1713</v>
      </c>
      <c r="D536" s="15" t="s">
        <v>1714</v>
      </c>
      <c r="E536" s="15" t="s">
        <v>1715</v>
      </c>
      <c r="F536" s="1"/>
      <c r="G536" s="15" t="s">
        <v>1716</v>
      </c>
      <c r="H536" s="2"/>
      <c r="I536" s="2"/>
      <c r="J536" s="2"/>
      <c r="K536" s="2"/>
      <c r="L536" s="2"/>
      <c r="M536" s="2"/>
      <c r="N536" s="2"/>
      <c r="O536" s="2"/>
      <c r="P536" s="2"/>
      <c r="Q536" s="2"/>
      <c r="R536" s="2"/>
      <c r="S536" s="2"/>
      <c r="T536" s="2"/>
      <c r="U536" s="2"/>
      <c r="V536" s="2"/>
      <c r="W536" s="2"/>
      <c r="X536" s="2"/>
    </row>
    <row r="537" spans="1:24" ht="47.25" x14ac:dyDescent="0.2">
      <c r="A537" s="16" t="str">
        <f>$C$4&amp;"-"&amp;TEXT(COUNTA($E$15:E537),"00")</f>
        <v>TC-492</v>
      </c>
      <c r="B537" s="32"/>
      <c r="C537" s="15" t="s">
        <v>1717</v>
      </c>
      <c r="D537" s="15" t="s">
        <v>1718</v>
      </c>
      <c r="E537" s="15" t="s">
        <v>1719</v>
      </c>
      <c r="F537" s="1"/>
      <c r="G537" s="15" t="s">
        <v>1716</v>
      </c>
      <c r="H537" s="2"/>
      <c r="I537" s="2"/>
      <c r="J537" s="2"/>
      <c r="K537" s="2"/>
      <c r="L537" s="2"/>
      <c r="M537" s="2"/>
      <c r="N537" s="2"/>
      <c r="O537" s="2"/>
      <c r="P537" s="2"/>
      <c r="Q537" s="2"/>
      <c r="R537" s="2"/>
      <c r="S537" s="2"/>
      <c r="T537" s="2"/>
      <c r="U537" s="2"/>
      <c r="V537" s="2"/>
      <c r="W537" s="2"/>
      <c r="X537" s="2"/>
    </row>
    <row r="538" spans="1:24" ht="63" x14ac:dyDescent="0.2">
      <c r="A538" s="16" t="str">
        <f>$C$4&amp;"-"&amp;TEXT(COUNTA($E$15:E538),"00")</f>
        <v>TC-493</v>
      </c>
      <c r="B538" s="15" t="s">
        <v>789</v>
      </c>
      <c r="C538" s="15" t="s">
        <v>1720</v>
      </c>
      <c r="D538" s="15" t="s">
        <v>1721</v>
      </c>
      <c r="E538" s="15" t="s">
        <v>1722</v>
      </c>
      <c r="F538" s="1"/>
      <c r="G538" s="15" t="s">
        <v>1723</v>
      </c>
      <c r="H538" s="2"/>
      <c r="I538" s="2"/>
      <c r="J538" s="2"/>
      <c r="K538" s="2"/>
      <c r="L538" s="2"/>
      <c r="M538" s="2"/>
      <c r="N538" s="2"/>
      <c r="O538" s="2"/>
      <c r="P538" s="2"/>
      <c r="Q538" s="2"/>
      <c r="R538" s="2"/>
      <c r="S538" s="2"/>
      <c r="T538" s="2"/>
      <c r="U538" s="2"/>
      <c r="V538" s="2"/>
      <c r="W538" s="2"/>
      <c r="X538" s="2"/>
    </row>
    <row r="539" spans="1:24" ht="63" x14ac:dyDescent="0.2">
      <c r="A539" s="16" t="str">
        <f>$C$4&amp;"-"&amp;TEXT(COUNTA($E$15:E539),"00")</f>
        <v>TC-494</v>
      </c>
      <c r="B539" s="15" t="s">
        <v>1724</v>
      </c>
      <c r="C539" s="15" t="s">
        <v>1725</v>
      </c>
      <c r="D539" s="15" t="s">
        <v>1726</v>
      </c>
      <c r="E539" s="15" t="s">
        <v>1727</v>
      </c>
      <c r="F539" s="1"/>
      <c r="G539" s="15" t="s">
        <v>1728</v>
      </c>
      <c r="H539" s="2"/>
      <c r="I539" s="2"/>
      <c r="J539" s="2"/>
      <c r="K539" s="2"/>
      <c r="L539" s="2"/>
      <c r="M539" s="2"/>
      <c r="N539" s="2"/>
      <c r="O539" s="2"/>
      <c r="P539" s="2"/>
      <c r="Q539" s="2"/>
      <c r="R539" s="2"/>
      <c r="S539" s="2"/>
      <c r="T539" s="2"/>
      <c r="U539" s="2"/>
      <c r="V539" s="2"/>
      <c r="W539" s="2"/>
      <c r="X539" s="2"/>
    </row>
    <row r="540" spans="1:24" ht="47.25" x14ac:dyDescent="0.2">
      <c r="A540" s="16" t="str">
        <f>$C$4&amp;"-"&amp;TEXT(COUNTA($E$15:E540),"00")</f>
        <v>TC-495</v>
      </c>
      <c r="B540" s="15" t="s">
        <v>793</v>
      </c>
      <c r="C540" s="15" t="s">
        <v>1729</v>
      </c>
      <c r="D540" s="15" t="s">
        <v>1730</v>
      </c>
      <c r="E540" s="15" t="s">
        <v>1731</v>
      </c>
      <c r="F540" s="1"/>
      <c r="G540" s="15" t="s">
        <v>1732</v>
      </c>
      <c r="H540" s="2"/>
      <c r="I540" s="2"/>
      <c r="J540" s="2"/>
      <c r="K540" s="2"/>
      <c r="L540" s="2"/>
      <c r="M540" s="2"/>
      <c r="N540" s="2"/>
      <c r="O540" s="2"/>
      <c r="P540" s="2"/>
      <c r="Q540" s="2"/>
      <c r="R540" s="2"/>
      <c r="S540" s="2"/>
      <c r="T540" s="2"/>
      <c r="U540" s="2"/>
      <c r="V540" s="2"/>
      <c r="W540" s="2"/>
      <c r="X540" s="2"/>
    </row>
    <row r="541" spans="1:24" ht="47.25" x14ac:dyDescent="0.2">
      <c r="A541" s="16" t="str">
        <f>$C$4&amp;"-"&amp;TEXT(COUNTA($E$15:E541),"00")</f>
        <v>TC-496</v>
      </c>
      <c r="B541" s="37" t="s">
        <v>1733</v>
      </c>
      <c r="C541" s="15" t="s">
        <v>1734</v>
      </c>
      <c r="D541" s="15" t="s">
        <v>1735</v>
      </c>
      <c r="E541" s="15" t="s">
        <v>1736</v>
      </c>
      <c r="F541" s="1"/>
      <c r="G541" s="15" t="s">
        <v>1737</v>
      </c>
      <c r="H541" s="2"/>
      <c r="I541" s="2"/>
      <c r="J541" s="2"/>
      <c r="K541" s="2"/>
      <c r="L541" s="2"/>
      <c r="M541" s="2"/>
      <c r="N541" s="2"/>
      <c r="O541" s="2"/>
      <c r="P541" s="2"/>
      <c r="Q541" s="2"/>
      <c r="R541" s="2"/>
      <c r="S541" s="2"/>
      <c r="T541" s="2"/>
      <c r="U541" s="2"/>
      <c r="V541" s="2"/>
      <c r="W541" s="2"/>
      <c r="X541" s="2"/>
    </row>
    <row r="542" spans="1:24" ht="47.25" x14ac:dyDescent="0.2">
      <c r="A542" s="16" t="str">
        <f>$C$4&amp;"-"&amp;TEXT(COUNTA($E$15:E542),"00")</f>
        <v>TC-497</v>
      </c>
      <c r="B542" s="31"/>
      <c r="C542" s="15" t="s">
        <v>1738</v>
      </c>
      <c r="D542" s="15" t="s">
        <v>1739</v>
      </c>
      <c r="E542" s="15" t="s">
        <v>1740</v>
      </c>
      <c r="F542" s="1"/>
      <c r="G542" s="15" t="s">
        <v>1741</v>
      </c>
      <c r="H542" s="2"/>
      <c r="I542" s="2"/>
      <c r="J542" s="2"/>
      <c r="K542" s="2"/>
      <c r="L542" s="2"/>
      <c r="M542" s="2"/>
      <c r="N542" s="2"/>
      <c r="O542" s="2"/>
      <c r="P542" s="2"/>
      <c r="Q542" s="2"/>
      <c r="R542" s="2"/>
      <c r="S542" s="2"/>
      <c r="T542" s="2"/>
      <c r="U542" s="2"/>
      <c r="V542" s="2"/>
      <c r="W542" s="2"/>
      <c r="X542" s="2"/>
    </row>
    <row r="543" spans="1:24" ht="78.75" x14ac:dyDescent="0.2">
      <c r="A543" s="16" t="str">
        <f>$C$4&amp;"-"&amp;TEXT(COUNTA($E$15:E543),"00")</f>
        <v>TC-498</v>
      </c>
      <c r="B543" s="32"/>
      <c r="C543" s="15" t="s">
        <v>1742</v>
      </c>
      <c r="D543" s="15" t="s">
        <v>1743</v>
      </c>
      <c r="E543" s="15" t="s">
        <v>1744</v>
      </c>
      <c r="F543" s="1"/>
      <c r="G543" s="15" t="s">
        <v>1745</v>
      </c>
      <c r="H543" s="2"/>
      <c r="I543" s="2"/>
      <c r="J543" s="2"/>
      <c r="K543" s="2"/>
      <c r="L543" s="2"/>
      <c r="M543" s="2"/>
      <c r="N543" s="2"/>
      <c r="O543" s="2"/>
      <c r="P543" s="2"/>
      <c r="Q543" s="2"/>
      <c r="R543" s="2"/>
      <c r="S543" s="2"/>
      <c r="T543" s="2"/>
      <c r="U543" s="2"/>
      <c r="V543" s="2"/>
      <c r="W543" s="2"/>
      <c r="X543" s="2"/>
    </row>
    <row r="544" spans="1:24" ht="12.75"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ht="12.75"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ht="12.75"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ht="12.75"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ht="12.75"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ht="12.75"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ht="12.75"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ht="12.75"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ht="12.75"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ht="12.75"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ht="12.75"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ht="12.75"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ht="12.75"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ht="12.75"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ht="12.75"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ht="12.75"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ht="12.75"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ht="12.75"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ht="12.75"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ht="12.75"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ht="12.75"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ht="12.75"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ht="12.75"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ht="12.75"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ht="12.75"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ht="12.75"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ht="12.75"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ht="12.75"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ht="12.75"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ht="12.75"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ht="12.75"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ht="12.75"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ht="12.75"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ht="12.75"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ht="12.75"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ht="12.75"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ht="12.75"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ht="12.75"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ht="12.75"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ht="12.75"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ht="12.75"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ht="12.75"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ht="12.75"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ht="12.75"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ht="12.75"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ht="12.75"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ht="12.75"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ht="12.75"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ht="12.75"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ht="12.75"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ht="12.75"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ht="12.75"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ht="12.75"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ht="12.75"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ht="12.75"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ht="12.75"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ht="12.75"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ht="12.75"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ht="12.75"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ht="12.75"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ht="12.75"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ht="12.75"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ht="12.75"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ht="12.75"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ht="12.75"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ht="12.75"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ht="12.75"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ht="12.75"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ht="12.75"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ht="12.75"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ht="12.75"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ht="12.75"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ht="12.75"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ht="12.75"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ht="12.75"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ht="12.75"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ht="12.75"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ht="12.75"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ht="12.75"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ht="12.75"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ht="12.75"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ht="12.75"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ht="12.75"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ht="12.75"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ht="12.75"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ht="12.75"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ht="12.75"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ht="12.75"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ht="12.75"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ht="12.75"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ht="12.75"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ht="12.75"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ht="12.75"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ht="12.75"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ht="12.75"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ht="12.75"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ht="12.75"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ht="12.75"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ht="12.75"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ht="12.75"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ht="12.75"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ht="12.75"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ht="12.75"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ht="12.75"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ht="12.75"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ht="12.75"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ht="12.75"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ht="12.75"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ht="12.75"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ht="12.75"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ht="12.75"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ht="12.75"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ht="12.75"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ht="12.75"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ht="12.75"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ht="12.75"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ht="12.75"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ht="12.75"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ht="12.75"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ht="12.75"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ht="12.75"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ht="12.75"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ht="12.75"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ht="12.75"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ht="12.75"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ht="12.75"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ht="12.75"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ht="12.75"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ht="12.75"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ht="12.75"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ht="12.75"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ht="12.75"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ht="12.75"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ht="12.75"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ht="12.75"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ht="12.75"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ht="12.75"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ht="12.75"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ht="12.75"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ht="12.75"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ht="12.75"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ht="12.75"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ht="12.75"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ht="12.75"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ht="12.75"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ht="12.75"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ht="12.75"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ht="12.75"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ht="12.75"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ht="12.75"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ht="12.75"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ht="12.75"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ht="12.75"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ht="12.75"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ht="12.75"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ht="12.75"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ht="12.75"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ht="12.75"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ht="12.75"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ht="12.75"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ht="12.75"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ht="12.75"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ht="12.75"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ht="12.75"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ht="12.75"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ht="12.75"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ht="12.75"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ht="12.75"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ht="12.75"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ht="12.75"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ht="12.75"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ht="12.75"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ht="12.75"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ht="12.75"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ht="12.75"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ht="12.75"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ht="12.75"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ht="12.75"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ht="12.75"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ht="12.75"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ht="12.75"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ht="12.75"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ht="12.75"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ht="12.75"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ht="12.75"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ht="12.75"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ht="12.75"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ht="12.75"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ht="12.75"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ht="12.75"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ht="12.75"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ht="12.75"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ht="12.75"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ht="12.75"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ht="12.75"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ht="12.75"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ht="12.75"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ht="12.75"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ht="12.75"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ht="12.75"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ht="12.75"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ht="12.75"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ht="12.75"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ht="12.75"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ht="12.75"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ht="12.75"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ht="12.75"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ht="12.75"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ht="12.75"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ht="12.75"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ht="12.75"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ht="12.75"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ht="12.75"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ht="12.75"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ht="12.75"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ht="12.75"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ht="12.75"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ht="12.75"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ht="12.75"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ht="12.75"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ht="12.75"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ht="12.75"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ht="12.75"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ht="12.75"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ht="12.75"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ht="12.75"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ht="12.75"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ht="12.75"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ht="12.75"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ht="12.75"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ht="12.75"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ht="12.75"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ht="12.75"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ht="12.75"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ht="12.75"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ht="12.75"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ht="12.75"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ht="12.75"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ht="12.75"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ht="12.75"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ht="12.75"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ht="12.75"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ht="12.75"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ht="12.75"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ht="12.75"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ht="12.75"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ht="12.75"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ht="12.75"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ht="12.75"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ht="12.75"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ht="12.75"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ht="12.75"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ht="12.75"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ht="12.75"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ht="12.75"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ht="12.75"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ht="12.75"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ht="12.75"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ht="12.75"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ht="12.75"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ht="12.75"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ht="12.75"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ht="12.75"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ht="12.75"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ht="12.75"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ht="12.75"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ht="12.75"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ht="12.75"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ht="12.75"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ht="12.75"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ht="12.75"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ht="12.75"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ht="12.75"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ht="12.75"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ht="12.75"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ht="12.75"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ht="12.75"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ht="12.75"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ht="12.75"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ht="12.75"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ht="12.75"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ht="12.75"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ht="12.75"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ht="12.75"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ht="12.75"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ht="12.75"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ht="12.75"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ht="12.75"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ht="12.75"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ht="12.75"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ht="12.75"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ht="12.75"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ht="12.75"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ht="12.75"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ht="12.75"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ht="12.75"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ht="12.75"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ht="12.75"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ht="12.75"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ht="12.75"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ht="12.75"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ht="12.75"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ht="12.75"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ht="12.75"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ht="12.75"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ht="12.75"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ht="12.75"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ht="12.75"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ht="12.75"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ht="12.75"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ht="12.75"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ht="12.75"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ht="12.75"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ht="12.75"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ht="12.75"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ht="12.75"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ht="12.75"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ht="12.75"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ht="12.75"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ht="12.75"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ht="12.75"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ht="12.75"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ht="12.75"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ht="12.75"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ht="12.75"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ht="12.75"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ht="12.75"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ht="12.75"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ht="12.75"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ht="12.75"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ht="12.75"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ht="12.75"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ht="12.75"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ht="12.75"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ht="12.75"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ht="12.75"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ht="12.75"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ht="12.75"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ht="12.75"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ht="12.75"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ht="12.75"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ht="12.75"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ht="12.75"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ht="12.75"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ht="12.75"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ht="12.75"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ht="12.75"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ht="12.75"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ht="12.75"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ht="12.75"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ht="12.75"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ht="12.75"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ht="12.75"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ht="12.75"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ht="12.75"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ht="12.75"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ht="12.75"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ht="12.75"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ht="12.75"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ht="12.75"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ht="12.75"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ht="12.75"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ht="12.75"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ht="12.75"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ht="12.75"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ht="12.75"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ht="12.75"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ht="12.75"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ht="12.75"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ht="12.75"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ht="12.75"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ht="12.75"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ht="12.75"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ht="12.75"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ht="12.75"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ht="12.75"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ht="12.75"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ht="12.75"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ht="12.75"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ht="12.75"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ht="12.75"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ht="12.75"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ht="12.75"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ht="12.75"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ht="12.75"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ht="12.75"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ht="12.75"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ht="12.75"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ht="12.75"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ht="12.75"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ht="12.75"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ht="12.75"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ht="12.75"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ht="12.75"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ht="12.75"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ht="12.75"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ht="12.75"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ht="12.75"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ht="12.75"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ht="12.75"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ht="12.75"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ht="12.75"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ht="12.75"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ht="12.75"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ht="12.75"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ht="12.75"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ht="12.75"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ht="12.75"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ht="12.75"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ht="12.75"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ht="12.75"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ht="12.75"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ht="12.75"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ht="12.75"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ht="12.75"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ht="12.75"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ht="12.75"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ht="12.75"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ht="12.75"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ht="12.75"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ht="12.75"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ht="12.75"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ht="12.75"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ht="12.75"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ht="12.75"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ht="12.75"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ht="12.75"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ht="12.75"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ht="12.75"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ht="12.75"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ht="12.75"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ht="12.75"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ht="12.75"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ht="12.75"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ht="12.75"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ht="12.75"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ht="12.75"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ht="12.75"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ht="12.75"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ht="12.75"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ht="12.75"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ht="12.75"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ht="12.75"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ht="12.75"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ht="12.75"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ht="12.75"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ht="12.75"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ht="12.75"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ht="12.75"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ht="12.75"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ht="12.75"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ht="12.75"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ht="12.75"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row>
    <row r="997" spans="1:24" ht="12.75"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row>
    <row r="998" spans="1:24" ht="12.75"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row>
    <row r="999" spans="1:24" ht="12.75"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row>
    <row r="1000" spans="1:24" ht="12.75"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spans="1:24" ht="12.75"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spans="1:24" ht="12.75"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spans="1:24" ht="12.75"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spans="1:24" ht="12.75"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spans="1:24" ht="12.75"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spans="1:24" ht="12.75"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spans="1:24" ht="12.75"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spans="1:24" ht="12.75"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spans="1:24" ht="12.75" x14ac:dyDescent="0.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spans="1:24" ht="12.75" x14ac:dyDescent="0.2">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spans="1:24" ht="12.75" x14ac:dyDescent="0.2">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row r="1012" spans="1:24" ht="12.75" x14ac:dyDescent="0.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row>
    <row r="1013" spans="1:24" ht="12.75" x14ac:dyDescent="0.2">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row>
    <row r="1014" spans="1:24" ht="12.75" x14ac:dyDescent="0.2">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row>
    <row r="1015" spans="1:24" ht="12.75" x14ac:dyDescent="0.2">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row>
    <row r="1016" spans="1:24" ht="12.75" x14ac:dyDescent="0.2">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row>
    <row r="1017" spans="1:24" ht="12.75" x14ac:dyDescent="0.2">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row>
    <row r="1018" spans="1:24" ht="12.75" x14ac:dyDescent="0.2">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row>
    <row r="1019" spans="1:24" ht="12.75" x14ac:dyDescent="0.2">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row>
    <row r="1020" spans="1:24" ht="12.75" x14ac:dyDescent="0.2">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row>
    <row r="1021" spans="1:24" ht="12.75" x14ac:dyDescent="0.2">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row>
    <row r="1022" spans="1:24" ht="12.75" x14ac:dyDescent="0.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row>
    <row r="1023" spans="1:24" ht="12.75" x14ac:dyDescent="0.2">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row>
    <row r="1024" spans="1:24" ht="12.75" x14ac:dyDescent="0.2">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row>
    <row r="1025" spans="1:24" ht="12.75" x14ac:dyDescent="0.2">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row>
    <row r="1026" spans="1:24" ht="12.75" x14ac:dyDescent="0.2">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row>
    <row r="1027" spans="1:24" ht="12.75" x14ac:dyDescent="0.2">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row>
    <row r="1028" spans="1:24" ht="12.75" x14ac:dyDescent="0.2">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row>
    <row r="1029" spans="1:24" ht="12.75" x14ac:dyDescent="0.2">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row>
    <row r="1030" spans="1:24" ht="12.75" x14ac:dyDescent="0.2">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row>
    <row r="1031" spans="1:24" ht="12.75" x14ac:dyDescent="0.2">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row>
    <row r="1032" spans="1:24" ht="12.75" x14ac:dyDescent="0.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row>
    <row r="1033" spans="1:24" ht="12.75" x14ac:dyDescent="0.2">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row>
    <row r="1034" spans="1:24" ht="12.75" x14ac:dyDescent="0.2">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row>
    <row r="1035" spans="1:24" ht="12.75" x14ac:dyDescent="0.2">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row>
    <row r="1036" spans="1:24" ht="12.75" x14ac:dyDescent="0.2">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row>
    <row r="1037" spans="1:24" ht="12.75" x14ac:dyDescent="0.2">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row>
    <row r="1038" spans="1:24" ht="12.75" x14ac:dyDescent="0.2">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row>
    <row r="1039" spans="1:24" ht="12.75" x14ac:dyDescent="0.2">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row>
    <row r="1040" spans="1:24" ht="12.75" x14ac:dyDescent="0.2">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row>
    <row r="1041" spans="1:24" ht="12.75" x14ac:dyDescent="0.2">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row>
    <row r="1042" spans="1:24" ht="12.75" x14ac:dyDescent="0.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row>
    <row r="1043" spans="1:24" ht="12.75" x14ac:dyDescent="0.2">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row>
    <row r="1044" spans="1:24" ht="12.75" x14ac:dyDescent="0.2">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row>
    <row r="1045" spans="1:24" ht="12.75" x14ac:dyDescent="0.2">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row>
    <row r="1046" spans="1:24" ht="12.75" x14ac:dyDescent="0.2">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row>
    <row r="1047" spans="1:24" ht="12.75" x14ac:dyDescent="0.2">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row>
    <row r="1048" spans="1:24" ht="12.75" x14ac:dyDescent="0.2">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row>
    <row r="1049" spans="1:24" ht="12.75" x14ac:dyDescent="0.2">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row>
    <row r="1050" spans="1:24" ht="12.75" x14ac:dyDescent="0.2">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row>
    <row r="1051" spans="1:24" ht="12.75" x14ac:dyDescent="0.2">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row>
    <row r="1052" spans="1:24" ht="12.75" x14ac:dyDescent="0.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row>
    <row r="1053" spans="1:24" ht="12.75" x14ac:dyDescent="0.2">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row>
    <row r="1054" spans="1:24" ht="12.75" x14ac:dyDescent="0.2">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row>
    <row r="1055" spans="1:24" ht="12.75" x14ac:dyDescent="0.2">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row>
    <row r="1056" spans="1:24" ht="12.75" x14ac:dyDescent="0.2">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row>
    <row r="1057" spans="1:24" ht="12.75" x14ac:dyDescent="0.2">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row>
    <row r="1058" spans="1:24" ht="12.75" x14ac:dyDescent="0.2">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row>
    <row r="1059" spans="1:24" ht="12.75" x14ac:dyDescent="0.2">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row>
    <row r="1060" spans="1:24" ht="12.75" x14ac:dyDescent="0.2">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row>
    <row r="1061" spans="1:24" ht="12.75" x14ac:dyDescent="0.2">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row>
    <row r="1062" spans="1:24" ht="12.75" x14ac:dyDescent="0.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row>
    <row r="1063" spans="1:24" ht="12.75" x14ac:dyDescent="0.2">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row>
    <row r="1064" spans="1:24" ht="12.75" x14ac:dyDescent="0.2">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row>
    <row r="1065" spans="1:24" ht="12.75" x14ac:dyDescent="0.2">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row>
    <row r="1066" spans="1:24" ht="12.75" x14ac:dyDescent="0.2">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row>
    <row r="1067" spans="1:24" ht="12.75" x14ac:dyDescent="0.2">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row>
    <row r="1068" spans="1:24" ht="12.75" x14ac:dyDescent="0.2">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row>
    <row r="1069" spans="1:24" ht="12.75" x14ac:dyDescent="0.2">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row>
    <row r="1070" spans="1:24" ht="12.75" x14ac:dyDescent="0.2">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row>
    <row r="1071" spans="1:24" ht="12.75" x14ac:dyDescent="0.2">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row>
    <row r="1072" spans="1:24" ht="12.75" x14ac:dyDescent="0.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row>
    <row r="1073" spans="1:24" ht="12.75" x14ac:dyDescent="0.2">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row>
    <row r="1074" spans="1:24" ht="12.75" x14ac:dyDescent="0.2">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row>
    <row r="1075" spans="1:24" ht="12.75" x14ac:dyDescent="0.2">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row>
    <row r="1076" spans="1:24" ht="12.75" x14ac:dyDescent="0.2">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row>
    <row r="1077" spans="1:24" ht="12.75" x14ac:dyDescent="0.2">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row>
    <row r="1078" spans="1:24" ht="12.75" x14ac:dyDescent="0.2">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row>
    <row r="1079" spans="1:24" ht="12.75" x14ac:dyDescent="0.2">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row>
    <row r="1080" spans="1:24" ht="12.75" x14ac:dyDescent="0.2">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row>
    <row r="1081" spans="1:24" ht="12.75" x14ac:dyDescent="0.2">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row>
    <row r="1082" spans="1:24" ht="12.75" x14ac:dyDescent="0.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row>
    <row r="1083" spans="1:24" ht="12.75" x14ac:dyDescent="0.2">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row>
    <row r="1084" spans="1:24" ht="12.75" x14ac:dyDescent="0.2">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row>
    <row r="1085" spans="1:24" ht="12.75" x14ac:dyDescent="0.2">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row>
    <row r="1086" spans="1:24" ht="12.75" x14ac:dyDescent="0.2">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row>
    <row r="1087" spans="1:24" ht="12.75" x14ac:dyDescent="0.2">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row>
    <row r="1088" spans="1:24" ht="12.75" x14ac:dyDescent="0.2">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row>
    <row r="1089" spans="1:24" ht="12.75" x14ac:dyDescent="0.2">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row>
    <row r="1090" spans="1:24" ht="12.75" x14ac:dyDescent="0.2">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row>
    <row r="1091" spans="1:24" ht="12.75" x14ac:dyDescent="0.2">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row>
    <row r="1092" spans="1:24" ht="12.75" x14ac:dyDescent="0.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row>
    <row r="1093" spans="1:24" ht="12.75" x14ac:dyDescent="0.2">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row>
    <row r="1094" spans="1:24" ht="12.75" x14ac:dyDescent="0.2">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row>
    <row r="1095" spans="1:24" ht="12.75" x14ac:dyDescent="0.2">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row>
    <row r="1096" spans="1:24" ht="12.75" x14ac:dyDescent="0.2">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row>
    <row r="1097" spans="1:24" ht="12.75" x14ac:dyDescent="0.2">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row>
    <row r="1098" spans="1:24" ht="12.75" x14ac:dyDescent="0.2">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row>
    <row r="1099" spans="1:24" ht="12.75" x14ac:dyDescent="0.2">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row>
    <row r="1100" spans="1:24" ht="12.75" x14ac:dyDescent="0.2">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row>
    <row r="1101" spans="1:24" ht="12.75" x14ac:dyDescent="0.2">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row>
    <row r="1102" spans="1:24" ht="12.75" x14ac:dyDescent="0.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row>
    <row r="1103" spans="1:24" ht="12.75" x14ac:dyDescent="0.2">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row>
    <row r="1104" spans="1:24" ht="12.75" x14ac:dyDescent="0.2">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row>
    <row r="1105" spans="1:24" ht="12.75" x14ac:dyDescent="0.2">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row>
    <row r="1106" spans="1:24" ht="12.75" x14ac:dyDescent="0.2">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row>
    <row r="1107" spans="1:24" ht="12.75" x14ac:dyDescent="0.2">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row>
    <row r="1108" spans="1:24" ht="12.75" x14ac:dyDescent="0.2">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row>
    <row r="1109" spans="1:24" ht="12.75" x14ac:dyDescent="0.2">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row>
    <row r="1110" spans="1:24" ht="12.75" x14ac:dyDescent="0.2">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row>
    <row r="1111" spans="1:24" ht="12.75" x14ac:dyDescent="0.2">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row>
    <row r="1112" spans="1:24" ht="12.75" x14ac:dyDescent="0.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row>
    <row r="1113" spans="1:24" ht="12.75" x14ac:dyDescent="0.2">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row>
    <row r="1114" spans="1:24" ht="12.75" x14ac:dyDescent="0.2">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row>
    <row r="1115" spans="1:24" ht="12.75" x14ac:dyDescent="0.2">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row>
    <row r="1116" spans="1:24" ht="12.75" x14ac:dyDescent="0.2">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row>
    <row r="1117" spans="1:24" ht="12.75" x14ac:dyDescent="0.2">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row>
    <row r="1118" spans="1:24" ht="12.75" x14ac:dyDescent="0.2">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row>
    <row r="1119" spans="1:24" ht="12.75" x14ac:dyDescent="0.2">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row>
    <row r="1120" spans="1:24" ht="12.75" x14ac:dyDescent="0.2">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row>
    <row r="1121" spans="1:24" ht="12.75" x14ac:dyDescent="0.2">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row>
  </sheetData>
  <mergeCells count="155">
    <mergeCell ref="B536:B537"/>
    <mergeCell ref="B294:B296"/>
    <mergeCell ref="B48:B52"/>
    <mergeCell ref="B43:B47"/>
    <mergeCell ref="B443:B446"/>
    <mergeCell ref="A458:C458"/>
    <mergeCell ref="B222:B223"/>
    <mergeCell ref="B415:B416"/>
    <mergeCell ref="B521:B522"/>
    <mergeCell ref="A423:F423"/>
    <mergeCell ref="C1:G1"/>
    <mergeCell ref="A114:G114"/>
    <mergeCell ref="B218:B220"/>
    <mergeCell ref="C11:C12"/>
    <mergeCell ref="E11:E12"/>
    <mergeCell ref="B24:B25"/>
    <mergeCell ref="A460:F460"/>
    <mergeCell ref="B224:B226"/>
    <mergeCell ref="A2:B2"/>
    <mergeCell ref="B200:B202"/>
    <mergeCell ref="B209:B211"/>
    <mergeCell ref="B323:B325"/>
    <mergeCell ref="B413:B414"/>
    <mergeCell ref="A243:G243"/>
    <mergeCell ref="B58:B60"/>
    <mergeCell ref="A6:B6"/>
    <mergeCell ref="B461:B469"/>
    <mergeCell ref="A242:C242"/>
    <mergeCell ref="B326:B331"/>
    <mergeCell ref="A235:F235"/>
    <mergeCell ref="A113:F113"/>
    <mergeCell ref="B118:B124"/>
    <mergeCell ref="B163:B172"/>
    <mergeCell ref="B245:B253"/>
    <mergeCell ref="B64:B66"/>
    <mergeCell ref="B478:B481"/>
    <mergeCell ref="B523:B525"/>
    <mergeCell ref="B424:B425"/>
    <mergeCell ref="B375:B378"/>
    <mergeCell ref="B531:B532"/>
    <mergeCell ref="A498:F498"/>
    <mergeCell ref="B203:B208"/>
    <mergeCell ref="A379:C379"/>
    <mergeCell ref="B62:B63"/>
    <mergeCell ref="B447:B449"/>
    <mergeCell ref="B392:B396"/>
    <mergeCell ref="A152:G152"/>
    <mergeCell ref="B361:B368"/>
    <mergeCell ref="B499:B502"/>
    <mergeCell ref="B489:B495"/>
    <mergeCell ref="A1:B1"/>
    <mergeCell ref="B533:B534"/>
    <mergeCell ref="A459:G459"/>
    <mergeCell ref="B82:B83"/>
    <mergeCell ref="A381:F381"/>
    <mergeCell ref="B105:B106"/>
    <mergeCell ref="B421:B422"/>
    <mergeCell ref="B332:B337"/>
    <mergeCell ref="B212:B216"/>
    <mergeCell ref="B98:B99"/>
    <mergeCell ref="B371:B374"/>
    <mergeCell ref="A244:F244"/>
    <mergeCell ref="A100:F100"/>
    <mergeCell ref="A3:B3"/>
    <mergeCell ref="A407:F407"/>
    <mergeCell ref="B115:B117"/>
    <mergeCell ref="B348:B353"/>
    <mergeCell ref="B382:B386"/>
    <mergeCell ref="A5:B5"/>
    <mergeCell ref="A34:F34"/>
    <mergeCell ref="B310:B313"/>
    <mergeCell ref="B397:B398"/>
    <mergeCell ref="B279:B293"/>
    <mergeCell ref="B518:B520"/>
    <mergeCell ref="G11:G12"/>
    <mergeCell ref="B54:B57"/>
    <mergeCell ref="B314:B318"/>
    <mergeCell ref="A11:A12"/>
    <mergeCell ref="B411:B412"/>
    <mergeCell ref="A14:G14"/>
    <mergeCell ref="B255:B270"/>
    <mergeCell ref="A217:F217"/>
    <mergeCell ref="B38:B42"/>
    <mergeCell ref="B271:B278"/>
    <mergeCell ref="A380:G380"/>
    <mergeCell ref="B183:B187"/>
    <mergeCell ref="B473:B477"/>
    <mergeCell ref="B196:B199"/>
    <mergeCell ref="B319:B322"/>
    <mergeCell ref="A8:B8"/>
    <mergeCell ref="F11:F12"/>
    <mergeCell ref="B30:B31"/>
    <mergeCell ref="B93:B97"/>
    <mergeCell ref="B32:B33"/>
    <mergeCell ref="A387:F387"/>
    <mergeCell ref="A452:F452"/>
    <mergeCell ref="A10:B10"/>
    <mergeCell ref="A61:F61"/>
    <mergeCell ref="A254:F254"/>
    <mergeCell ref="A22:F22"/>
    <mergeCell ref="B107:B112"/>
    <mergeCell ref="B101:B104"/>
    <mergeCell ref="B408:B409"/>
    <mergeCell ref="A13:C13"/>
    <mergeCell ref="B140:B142"/>
    <mergeCell ref="B342:B347"/>
    <mergeCell ref="B369:B370"/>
    <mergeCell ref="B541:B543"/>
    <mergeCell ref="B85:B89"/>
    <mergeCell ref="B417:B418"/>
    <mergeCell ref="B125:B129"/>
    <mergeCell ref="B426:B427"/>
    <mergeCell ref="B80:B81"/>
    <mergeCell ref="B527:B528"/>
    <mergeCell ref="B482:B488"/>
    <mergeCell ref="B307:B309"/>
    <mergeCell ref="B338:B341"/>
    <mergeCell ref="B428:B429"/>
    <mergeCell ref="B354:B359"/>
    <mergeCell ref="B143:B150"/>
    <mergeCell ref="B402:B406"/>
    <mergeCell ref="A517:F517"/>
    <mergeCell ref="B236:B237"/>
    <mergeCell ref="B512:B513"/>
    <mergeCell ref="B173:B182"/>
    <mergeCell ref="A360:F360"/>
    <mergeCell ref="B188:B195"/>
    <mergeCell ref="B509:B510"/>
    <mergeCell ref="B90:B91"/>
    <mergeCell ref="B503:B506"/>
    <mergeCell ref="B388:B390"/>
    <mergeCell ref="B153:B156"/>
    <mergeCell ref="B228:B234"/>
    <mergeCell ref="A472:F472"/>
    <mergeCell ref="B297:B305"/>
    <mergeCell ref="B432:B433"/>
    <mergeCell ref="B450:B451"/>
    <mergeCell ref="A7:B7"/>
    <mergeCell ref="B78:B79"/>
    <mergeCell ref="A508:F508"/>
    <mergeCell ref="B157:B162"/>
    <mergeCell ref="B436:B437"/>
    <mergeCell ref="B130:B139"/>
    <mergeCell ref="B28:B29"/>
    <mergeCell ref="A15:F15"/>
    <mergeCell ref="B68:B77"/>
    <mergeCell ref="A9:B9"/>
    <mergeCell ref="B26:B27"/>
    <mergeCell ref="B16:B21"/>
    <mergeCell ref="B11:B12"/>
    <mergeCell ref="D11:D12"/>
    <mergeCell ref="B440:B441"/>
    <mergeCell ref="A434:F434"/>
    <mergeCell ref="A151:F151"/>
    <mergeCell ref="B399:B401"/>
  </mergeCells>
  <dataValidations count="2">
    <dataValidation type="list" allowBlank="1" showErrorMessage="1" sqref="F16:F21 F23:F33 F35:F60 F62:F99 F101:F112 F236:F241 F245:F253 F255:F359 F361:F378 F382:F386 F389:F406 F408:F422 F424:F433 F435:F451 F453:F457 F461:F471 F473:F497 F499:F507 F509:F516 F518:F543" xr:uid="{00000000-0002-0000-0000-000000000000}">
      <formula1>"Pass,Fail,Pending,N/A"</formula1>
    </dataValidation>
    <dataValidation type="list" allowBlank="1" sqref="F115:F234" xr:uid="{00000000-0002-0000-0000-000001000000}">
      <formula1>"Pass,Fail,Pending,N/A"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1"/>
  <sheetViews>
    <sheetView workbookViewId="0"/>
  </sheetViews>
  <sheetFormatPr defaultRowHeight="12.75" x14ac:dyDescent="0.2"/>
  <cols>
    <col min="1" max="1" width="34" customWidth="1"/>
    <col min="2" max="7" width="22" customWidth="1"/>
  </cols>
  <sheetData>
    <row r="1" spans="1:7" ht="16.5" x14ac:dyDescent="0.25">
      <c r="A1" s="27" t="s">
        <v>1746</v>
      </c>
    </row>
    <row r="3" spans="1:7" ht="45" customHeight="1" x14ac:dyDescent="0.2">
      <c r="A3" s="28" t="s">
        <v>1747</v>
      </c>
      <c r="B3" s="28" t="s">
        <v>1748</v>
      </c>
      <c r="C3" s="28" t="s">
        <v>1749</v>
      </c>
      <c r="D3" s="28" t="s">
        <v>1750</v>
      </c>
      <c r="E3" s="28" t="s">
        <v>5</v>
      </c>
    </row>
    <row r="4" spans="1:7" ht="32.1" customHeight="1" x14ac:dyDescent="0.2">
      <c r="A4" s="29" t="s">
        <v>1751</v>
      </c>
      <c r="B4" s="29" t="s">
        <v>1752</v>
      </c>
      <c r="C4" s="29" t="s">
        <v>1753</v>
      </c>
      <c r="D4" s="29" t="s">
        <v>1754</v>
      </c>
      <c r="E4" s="29" t="s">
        <v>1755</v>
      </c>
    </row>
    <row r="5" spans="1:7" ht="32.1" customHeight="1" x14ac:dyDescent="0.2">
      <c r="A5" s="29" t="s">
        <v>1312</v>
      </c>
      <c r="B5" s="29" t="s">
        <v>1756</v>
      </c>
      <c r="C5" s="29" t="s">
        <v>1757</v>
      </c>
      <c r="D5" s="29" t="s">
        <v>1758</v>
      </c>
      <c r="E5" s="29" t="s">
        <v>1759</v>
      </c>
    </row>
    <row r="6" spans="1:7" ht="32.1" customHeight="1" x14ac:dyDescent="0.2">
      <c r="A6" s="29" t="s">
        <v>15</v>
      </c>
      <c r="B6" s="29" t="s">
        <v>1760</v>
      </c>
      <c r="C6" s="29" t="s">
        <v>1761</v>
      </c>
      <c r="D6" s="29" t="s">
        <v>1762</v>
      </c>
      <c r="E6" s="29" t="s">
        <v>1763</v>
      </c>
    </row>
    <row r="7" spans="1:7" ht="32.1" customHeight="1" x14ac:dyDescent="0.2">
      <c r="A7" s="29" t="s">
        <v>1764</v>
      </c>
      <c r="B7" s="29" t="s">
        <v>1765</v>
      </c>
      <c r="C7" s="29" t="s">
        <v>1766</v>
      </c>
      <c r="D7" s="29" t="s">
        <v>1758</v>
      </c>
      <c r="E7" s="29" t="s">
        <v>1767</v>
      </c>
    </row>
    <row r="8" spans="1:7" ht="32.1" customHeight="1" x14ac:dyDescent="0.2">
      <c r="A8" s="29" t="s">
        <v>549</v>
      </c>
      <c r="B8" s="29" t="s">
        <v>1768</v>
      </c>
      <c r="C8" s="29" t="s">
        <v>1769</v>
      </c>
      <c r="D8" s="29" t="s">
        <v>1770</v>
      </c>
      <c r="E8" s="29" t="s">
        <v>1771</v>
      </c>
    </row>
    <row r="11" spans="1:7" ht="16.5" x14ac:dyDescent="0.25">
      <c r="A11" s="27" t="s">
        <v>1772</v>
      </c>
    </row>
    <row r="13" spans="1:7" ht="45" customHeight="1" x14ac:dyDescent="0.2">
      <c r="A13" s="28" t="s">
        <v>1773</v>
      </c>
      <c r="B13" s="28" t="s">
        <v>1774</v>
      </c>
      <c r="C13" s="28" t="s">
        <v>1775</v>
      </c>
      <c r="D13" s="28" t="s">
        <v>1776</v>
      </c>
      <c r="E13" s="28" t="s">
        <v>1777</v>
      </c>
      <c r="F13" s="28" t="s">
        <v>1778</v>
      </c>
      <c r="G13" s="28" t="s">
        <v>1779</v>
      </c>
    </row>
    <row r="14" spans="1:7" ht="32.1" customHeight="1" x14ac:dyDescent="0.2">
      <c r="A14" s="29" t="s">
        <v>1780</v>
      </c>
      <c r="B14" s="29" t="s">
        <v>1781</v>
      </c>
      <c r="C14" s="29" t="s">
        <v>1782</v>
      </c>
      <c r="D14" s="29" t="s">
        <v>1782</v>
      </c>
      <c r="E14" s="29" t="s">
        <v>1783</v>
      </c>
      <c r="F14" s="29" t="s">
        <v>1784</v>
      </c>
      <c r="G14" s="29" t="s">
        <v>1784</v>
      </c>
    </row>
    <row r="15" spans="1:7" ht="32.1" customHeight="1" x14ac:dyDescent="0.2">
      <c r="A15" s="29" t="s">
        <v>1785</v>
      </c>
      <c r="B15" s="29" t="s">
        <v>1781</v>
      </c>
      <c r="C15" s="29" t="s">
        <v>1782</v>
      </c>
      <c r="D15" s="29" t="s">
        <v>1783</v>
      </c>
      <c r="E15" s="29" t="s">
        <v>1784</v>
      </c>
      <c r="F15" s="29" t="s">
        <v>1784</v>
      </c>
      <c r="G15" s="29" t="s">
        <v>1784</v>
      </c>
    </row>
    <row r="16" spans="1:7" ht="32.1" customHeight="1" x14ac:dyDescent="0.2">
      <c r="A16" s="29" t="s">
        <v>1786</v>
      </c>
      <c r="B16" s="29" t="s">
        <v>1758</v>
      </c>
      <c r="C16" s="29" t="s">
        <v>1787</v>
      </c>
      <c r="D16" s="29" t="s">
        <v>1787</v>
      </c>
      <c r="E16" s="29" t="s">
        <v>1787</v>
      </c>
      <c r="F16" s="29" t="s">
        <v>1788</v>
      </c>
      <c r="G16" s="29" t="s">
        <v>1758</v>
      </c>
    </row>
    <row r="17" spans="1:7" ht="32.1" customHeight="1" x14ac:dyDescent="0.2">
      <c r="A17" s="29" t="s">
        <v>1789</v>
      </c>
      <c r="B17" s="29" t="s">
        <v>1758</v>
      </c>
      <c r="C17" s="29" t="s">
        <v>1788</v>
      </c>
      <c r="D17" s="29" t="s">
        <v>1788</v>
      </c>
      <c r="E17" s="29" t="s">
        <v>1788</v>
      </c>
      <c r="F17" s="29" t="s">
        <v>1788</v>
      </c>
      <c r="G17" s="29" t="s">
        <v>1787</v>
      </c>
    </row>
    <row r="18" spans="1:7" ht="32.1" customHeight="1" x14ac:dyDescent="0.2">
      <c r="A18" s="29" t="s">
        <v>660</v>
      </c>
      <c r="B18" s="29" t="s">
        <v>1790</v>
      </c>
      <c r="C18" s="29" t="s">
        <v>1791</v>
      </c>
      <c r="D18" s="29" t="s">
        <v>1791</v>
      </c>
      <c r="E18" s="29" t="s">
        <v>1791</v>
      </c>
      <c r="F18" s="29" t="s">
        <v>1791</v>
      </c>
      <c r="G18" s="29" t="s">
        <v>1791</v>
      </c>
    </row>
    <row r="19" spans="1:7" ht="32.1" customHeight="1" x14ac:dyDescent="0.2">
      <c r="A19" s="29" t="s">
        <v>1792</v>
      </c>
      <c r="B19" s="29" t="s">
        <v>1793</v>
      </c>
      <c r="C19" s="29" t="s">
        <v>1794</v>
      </c>
      <c r="D19" s="29" t="s">
        <v>1795</v>
      </c>
      <c r="E19" s="29" t="s">
        <v>1796</v>
      </c>
      <c r="F19" s="29" t="s">
        <v>1797</v>
      </c>
      <c r="G19" s="29" t="s">
        <v>1798</v>
      </c>
    </row>
    <row r="20" spans="1:7" ht="32.1" customHeight="1" x14ac:dyDescent="0.2">
      <c r="A20" s="29" t="s">
        <v>5</v>
      </c>
      <c r="B20" s="29" t="s">
        <v>1799</v>
      </c>
      <c r="C20" s="29" t="s">
        <v>1800</v>
      </c>
      <c r="D20" s="29" t="s">
        <v>1801</v>
      </c>
      <c r="E20" s="29" t="s">
        <v>1802</v>
      </c>
      <c r="F20" s="29" t="s">
        <v>1803</v>
      </c>
      <c r="G20" s="29" t="s">
        <v>1804</v>
      </c>
    </row>
    <row r="23" spans="1:7" ht="16.5" x14ac:dyDescent="0.25">
      <c r="A23" s="27" t="s">
        <v>1805</v>
      </c>
    </row>
    <row r="25" spans="1:7" ht="45" customHeight="1" x14ac:dyDescent="0.2">
      <c r="A25" s="28" t="s">
        <v>1806</v>
      </c>
      <c r="B25" s="28" t="s">
        <v>1807</v>
      </c>
      <c r="C25" s="28" t="s">
        <v>1808</v>
      </c>
      <c r="D25" s="28" t="s">
        <v>1809</v>
      </c>
      <c r="E25" s="28" t="s">
        <v>402</v>
      </c>
      <c r="F25" s="28" t="s">
        <v>5</v>
      </c>
    </row>
    <row r="26" spans="1:7" ht="32.1" customHeight="1" x14ac:dyDescent="0.2">
      <c r="A26" s="29" t="s">
        <v>1810</v>
      </c>
      <c r="B26" s="29" t="s">
        <v>1811</v>
      </c>
      <c r="C26" s="29" t="s">
        <v>1812</v>
      </c>
      <c r="D26" s="29" t="s">
        <v>1813</v>
      </c>
      <c r="E26" s="29" t="s">
        <v>1790</v>
      </c>
      <c r="F26" s="29" t="s">
        <v>1814</v>
      </c>
    </row>
    <row r="27" spans="1:7" ht="32.1" customHeight="1" x14ac:dyDescent="0.2">
      <c r="A27" s="29" t="s">
        <v>1815</v>
      </c>
      <c r="B27" s="29" t="s">
        <v>1816</v>
      </c>
      <c r="C27" s="29" t="s">
        <v>1817</v>
      </c>
      <c r="D27" s="29" t="s">
        <v>1818</v>
      </c>
      <c r="E27" s="29" t="s">
        <v>1791</v>
      </c>
      <c r="F27" s="29" t="s">
        <v>1819</v>
      </c>
    </row>
    <row r="28" spans="1:7" ht="32.1" customHeight="1" x14ac:dyDescent="0.2">
      <c r="A28" s="29" t="s">
        <v>1810</v>
      </c>
      <c r="B28" s="29" t="s">
        <v>1820</v>
      </c>
      <c r="C28" s="29" t="s">
        <v>1821</v>
      </c>
      <c r="D28" s="29" t="s">
        <v>1822</v>
      </c>
      <c r="E28" s="29" t="s">
        <v>1791</v>
      </c>
      <c r="F28" s="29" t="s">
        <v>1823</v>
      </c>
    </row>
    <row r="29" spans="1:7" ht="32.1" customHeight="1" x14ac:dyDescent="0.2">
      <c r="A29" s="29" t="s">
        <v>1824</v>
      </c>
      <c r="B29" s="29" t="s">
        <v>1825</v>
      </c>
      <c r="C29" s="29" t="s">
        <v>1826</v>
      </c>
      <c r="D29" s="29" t="s">
        <v>1827</v>
      </c>
      <c r="E29" s="29" t="s">
        <v>1791</v>
      </c>
      <c r="F29" s="29" t="s">
        <v>1828</v>
      </c>
    </row>
    <row r="32" spans="1:7" ht="16.5" x14ac:dyDescent="0.25">
      <c r="A32" s="27" t="s">
        <v>1829</v>
      </c>
    </row>
    <row r="34" spans="1:6" ht="45" customHeight="1" x14ac:dyDescent="0.2">
      <c r="A34" s="28" t="s">
        <v>1830</v>
      </c>
      <c r="B34" s="28" t="s">
        <v>1831</v>
      </c>
      <c r="C34" s="28" t="s">
        <v>1832</v>
      </c>
      <c r="D34" s="28" t="s">
        <v>1833</v>
      </c>
      <c r="E34" s="28" t="s">
        <v>1834</v>
      </c>
      <c r="F34" s="28" t="s">
        <v>5</v>
      </c>
    </row>
    <row r="35" spans="1:6" ht="32.1" customHeight="1" x14ac:dyDescent="0.2">
      <c r="A35" s="29" t="s">
        <v>1835</v>
      </c>
      <c r="B35" s="29" t="s">
        <v>1836</v>
      </c>
      <c r="C35" s="29" t="s">
        <v>1837</v>
      </c>
      <c r="D35" s="29" t="s">
        <v>1838</v>
      </c>
      <c r="E35" s="29" t="s">
        <v>1839</v>
      </c>
      <c r="F35" s="29" t="s">
        <v>1840</v>
      </c>
    </row>
    <row r="36" spans="1:6" ht="32.1" customHeight="1" x14ac:dyDescent="0.2">
      <c r="A36" s="29" t="s">
        <v>1841</v>
      </c>
      <c r="B36" s="29" t="s">
        <v>1842</v>
      </c>
      <c r="C36" s="29" t="s">
        <v>1782</v>
      </c>
      <c r="D36" s="29" t="s">
        <v>1843</v>
      </c>
      <c r="E36" s="29" t="s">
        <v>1844</v>
      </c>
      <c r="F36" s="29" t="s">
        <v>1845</v>
      </c>
    </row>
    <row r="37" spans="1:6" ht="32.1" customHeight="1" x14ac:dyDescent="0.2">
      <c r="A37" s="29" t="s">
        <v>1846</v>
      </c>
      <c r="B37" s="29" t="s">
        <v>1781</v>
      </c>
      <c r="C37" s="29" t="s">
        <v>1782</v>
      </c>
      <c r="D37" s="29" t="s">
        <v>1758</v>
      </c>
      <c r="E37" s="29" t="s">
        <v>1847</v>
      </c>
      <c r="F37" s="29" t="s">
        <v>1848</v>
      </c>
    </row>
    <row r="38" spans="1:6" ht="32.1" customHeight="1" x14ac:dyDescent="0.2">
      <c r="A38" s="29" t="s">
        <v>1849</v>
      </c>
      <c r="B38" s="29" t="s">
        <v>1850</v>
      </c>
      <c r="C38" s="29" t="s">
        <v>1758</v>
      </c>
      <c r="D38" s="29" t="s">
        <v>1758</v>
      </c>
      <c r="E38" s="29" t="s">
        <v>1758</v>
      </c>
      <c r="F38" s="29" t="s">
        <v>1851</v>
      </c>
    </row>
    <row r="41" spans="1:6" ht="16.5" x14ac:dyDescent="0.25">
      <c r="A41" s="27" t="s">
        <v>1852</v>
      </c>
    </row>
    <row r="43" spans="1:6" ht="45" customHeight="1" x14ac:dyDescent="0.2">
      <c r="A43" s="28" t="s">
        <v>1853</v>
      </c>
      <c r="B43" s="28" t="s">
        <v>1854</v>
      </c>
      <c r="C43" s="28" t="s">
        <v>1855</v>
      </c>
      <c r="D43" s="28" t="s">
        <v>1856</v>
      </c>
      <c r="E43" s="28" t="s">
        <v>5</v>
      </c>
    </row>
    <row r="44" spans="1:6" ht="32.1" customHeight="1" x14ac:dyDescent="0.2">
      <c r="A44" s="29" t="s">
        <v>1857</v>
      </c>
      <c r="B44" s="29" t="s">
        <v>1858</v>
      </c>
      <c r="C44" s="29" t="s">
        <v>1859</v>
      </c>
      <c r="D44" s="29" t="s">
        <v>1758</v>
      </c>
      <c r="E44" s="29" t="s">
        <v>1860</v>
      </c>
    </row>
    <row r="45" spans="1:6" ht="32.1" customHeight="1" x14ac:dyDescent="0.2">
      <c r="A45" s="29" t="s">
        <v>1861</v>
      </c>
      <c r="B45" s="29" t="s">
        <v>1862</v>
      </c>
      <c r="C45" s="29" t="s">
        <v>1857</v>
      </c>
      <c r="D45" s="29" t="s">
        <v>1863</v>
      </c>
      <c r="E45" s="29" t="s">
        <v>1864</v>
      </c>
    </row>
    <row r="46" spans="1:6" ht="32.1" customHeight="1" x14ac:dyDescent="0.2">
      <c r="A46" s="29" t="s">
        <v>1865</v>
      </c>
      <c r="B46" s="29" t="s">
        <v>1866</v>
      </c>
      <c r="C46" s="29" t="s">
        <v>1857</v>
      </c>
      <c r="D46" s="29" t="s">
        <v>1867</v>
      </c>
      <c r="E46" s="29" t="s">
        <v>1868</v>
      </c>
    </row>
    <row r="47" spans="1:6" ht="32.1" customHeight="1" x14ac:dyDescent="0.2">
      <c r="A47" s="29" t="s">
        <v>1865</v>
      </c>
      <c r="B47" s="29" t="s">
        <v>1869</v>
      </c>
      <c r="C47" s="29" t="s">
        <v>1857</v>
      </c>
      <c r="D47" s="29" t="s">
        <v>1867</v>
      </c>
      <c r="E47" s="29" t="s">
        <v>1870</v>
      </c>
    </row>
    <row r="48" spans="1:6" ht="32.1" customHeight="1" x14ac:dyDescent="0.2">
      <c r="A48" s="29" t="s">
        <v>1865</v>
      </c>
      <c r="B48" s="29" t="s">
        <v>1871</v>
      </c>
      <c r="C48" s="29" t="s">
        <v>1857</v>
      </c>
      <c r="D48" s="29" t="s">
        <v>1867</v>
      </c>
      <c r="E48" s="29" t="s">
        <v>1872</v>
      </c>
    </row>
    <row r="49" spans="1:5" ht="32.1" customHeight="1" x14ac:dyDescent="0.2">
      <c r="A49" s="29" t="s">
        <v>1865</v>
      </c>
      <c r="B49" s="29" t="s">
        <v>1873</v>
      </c>
      <c r="C49" s="29" t="s">
        <v>1874</v>
      </c>
      <c r="D49" s="29" t="s">
        <v>1867</v>
      </c>
      <c r="E49" s="29" t="s">
        <v>1875</v>
      </c>
    </row>
    <row r="50" spans="1:5" ht="32.1" customHeight="1" x14ac:dyDescent="0.2">
      <c r="A50" s="29" t="s">
        <v>1876</v>
      </c>
      <c r="B50" s="29" t="s">
        <v>1877</v>
      </c>
      <c r="C50" s="29" t="s">
        <v>1857</v>
      </c>
      <c r="D50" s="29" t="s">
        <v>1878</v>
      </c>
      <c r="E50" s="29" t="s">
        <v>1879</v>
      </c>
    </row>
    <row r="53" spans="1:5" ht="16.5" x14ac:dyDescent="0.25">
      <c r="A53" s="27" t="s">
        <v>1880</v>
      </c>
    </row>
    <row r="55" spans="1:5" ht="45" customHeight="1" x14ac:dyDescent="0.2">
      <c r="A55" s="28" t="s">
        <v>1853</v>
      </c>
      <c r="B55" s="28" t="s">
        <v>1854</v>
      </c>
      <c r="C55" s="28" t="s">
        <v>1855</v>
      </c>
      <c r="D55" s="28" t="s">
        <v>1881</v>
      </c>
      <c r="E55" s="28" t="s">
        <v>5</v>
      </c>
    </row>
    <row r="56" spans="1:5" ht="32.1" customHeight="1" x14ac:dyDescent="0.2">
      <c r="A56" s="29" t="s">
        <v>1857</v>
      </c>
      <c r="B56" s="29" t="s">
        <v>1873</v>
      </c>
      <c r="C56" s="29" t="s">
        <v>1882</v>
      </c>
      <c r="D56" s="29" t="s">
        <v>1883</v>
      </c>
      <c r="E56" s="29" t="s">
        <v>1884</v>
      </c>
    </row>
    <row r="57" spans="1:5" ht="32.1" customHeight="1" x14ac:dyDescent="0.2">
      <c r="A57" s="29" t="s">
        <v>1885</v>
      </c>
      <c r="B57" s="29" t="s">
        <v>1886</v>
      </c>
      <c r="C57" s="29" t="s">
        <v>1887</v>
      </c>
      <c r="D57" s="29" t="s">
        <v>1883</v>
      </c>
      <c r="E57" s="29" t="s">
        <v>1888</v>
      </c>
    </row>
    <row r="58" spans="1:5" ht="32.1" customHeight="1" x14ac:dyDescent="0.2">
      <c r="A58" s="29" t="s">
        <v>1887</v>
      </c>
      <c r="B58" s="29" t="s">
        <v>1889</v>
      </c>
      <c r="C58" s="29" t="s">
        <v>1890</v>
      </c>
      <c r="D58" s="29" t="s">
        <v>1891</v>
      </c>
      <c r="E58" s="29" t="s">
        <v>1892</v>
      </c>
    </row>
    <row r="59" spans="1:5" ht="32.1" customHeight="1" x14ac:dyDescent="0.2">
      <c r="A59" s="29" t="s">
        <v>1887</v>
      </c>
      <c r="B59" s="29" t="s">
        <v>1893</v>
      </c>
      <c r="C59" s="29" t="s">
        <v>1885</v>
      </c>
      <c r="D59" s="29" t="s">
        <v>1883</v>
      </c>
      <c r="E59" s="29" t="s">
        <v>1894</v>
      </c>
    </row>
    <row r="60" spans="1:5" ht="32.1" customHeight="1" x14ac:dyDescent="0.2">
      <c r="A60" s="29" t="s">
        <v>1887</v>
      </c>
      <c r="B60" s="29" t="s">
        <v>1895</v>
      </c>
      <c r="C60" s="29" t="s">
        <v>1885</v>
      </c>
      <c r="D60" s="29" t="s">
        <v>1883</v>
      </c>
      <c r="E60" s="29" t="s">
        <v>1896</v>
      </c>
    </row>
    <row r="61" spans="1:5" ht="32.1" customHeight="1" x14ac:dyDescent="0.2">
      <c r="A61" s="29" t="s">
        <v>1890</v>
      </c>
      <c r="B61" s="29" t="s">
        <v>1897</v>
      </c>
      <c r="C61" s="29" t="s">
        <v>1887</v>
      </c>
      <c r="D61" s="29" t="s">
        <v>1898</v>
      </c>
      <c r="E61" s="29" t="s">
        <v>1899</v>
      </c>
    </row>
    <row r="62" spans="1:5" ht="32.1" customHeight="1" x14ac:dyDescent="0.2">
      <c r="A62" s="29" t="s">
        <v>1890</v>
      </c>
      <c r="B62" s="29" t="s">
        <v>1895</v>
      </c>
      <c r="C62" s="29" t="s">
        <v>1885</v>
      </c>
      <c r="D62" s="29" t="s">
        <v>1900</v>
      </c>
      <c r="E62" s="29" t="s">
        <v>1901</v>
      </c>
    </row>
    <row r="63" spans="1:5" ht="32.1" customHeight="1" x14ac:dyDescent="0.2">
      <c r="A63" s="29" t="s">
        <v>1890</v>
      </c>
      <c r="B63" s="29" t="s">
        <v>1873</v>
      </c>
      <c r="C63" s="29" t="s">
        <v>1902</v>
      </c>
      <c r="D63" s="29" t="s">
        <v>1903</v>
      </c>
      <c r="E63" s="29" t="s">
        <v>1904</v>
      </c>
    </row>
    <row r="64" spans="1:5" ht="32.1" customHeight="1" x14ac:dyDescent="0.2">
      <c r="A64" s="29" t="s">
        <v>1887</v>
      </c>
      <c r="B64" s="29" t="s">
        <v>1873</v>
      </c>
      <c r="C64" s="29" t="s">
        <v>1905</v>
      </c>
      <c r="D64" s="29" t="s">
        <v>1883</v>
      </c>
      <c r="E64" s="29" t="s">
        <v>1906</v>
      </c>
    </row>
    <row r="65" spans="1:5" ht="32.1" customHeight="1" x14ac:dyDescent="0.2">
      <c r="A65" s="29" t="s">
        <v>1907</v>
      </c>
      <c r="B65" s="29" t="s">
        <v>1877</v>
      </c>
      <c r="C65" s="29" t="s">
        <v>1908</v>
      </c>
      <c r="D65" s="29" t="s">
        <v>1793</v>
      </c>
      <c r="E65" s="29" t="s">
        <v>1909</v>
      </c>
    </row>
    <row r="68" spans="1:5" ht="16.5" x14ac:dyDescent="0.25">
      <c r="A68" s="27" t="s">
        <v>1910</v>
      </c>
    </row>
    <row r="70" spans="1:5" ht="45" customHeight="1" x14ac:dyDescent="0.2">
      <c r="A70" s="28" t="s">
        <v>1911</v>
      </c>
      <c r="B70" s="28" t="s">
        <v>1912</v>
      </c>
      <c r="C70" s="28" t="s">
        <v>1913</v>
      </c>
    </row>
    <row r="71" spans="1:5" ht="32.1" customHeight="1" x14ac:dyDescent="0.2">
      <c r="A71" s="29" t="s">
        <v>1782</v>
      </c>
      <c r="B71" s="29" t="s">
        <v>1914</v>
      </c>
      <c r="C71" s="29" t="s">
        <v>1915</v>
      </c>
    </row>
    <row r="72" spans="1:5" ht="32.1" customHeight="1" x14ac:dyDescent="0.2">
      <c r="A72" s="29" t="s">
        <v>1843</v>
      </c>
      <c r="B72" s="29" t="s">
        <v>1916</v>
      </c>
      <c r="C72" s="29" t="s">
        <v>1917</v>
      </c>
    </row>
    <row r="73" spans="1:5" ht="32.1" customHeight="1" x14ac:dyDescent="0.2">
      <c r="A73" s="29" t="s">
        <v>1918</v>
      </c>
      <c r="B73" s="29" t="s">
        <v>1919</v>
      </c>
      <c r="C73" s="29" t="s">
        <v>1920</v>
      </c>
    </row>
    <row r="74" spans="1:5" ht="32.1" customHeight="1" x14ac:dyDescent="0.2">
      <c r="A74" s="29" t="s">
        <v>1921</v>
      </c>
      <c r="B74" s="29" t="s">
        <v>1922</v>
      </c>
      <c r="C74" s="29" t="s">
        <v>1879</v>
      </c>
    </row>
    <row r="75" spans="1:5" ht="32.1" customHeight="1" x14ac:dyDescent="0.2">
      <c r="A75" s="29" t="s">
        <v>1923</v>
      </c>
      <c r="B75" s="29" t="s">
        <v>1924</v>
      </c>
      <c r="C75" s="29" t="s">
        <v>1925</v>
      </c>
    </row>
    <row r="76" spans="1:5" ht="32.1" customHeight="1" x14ac:dyDescent="0.2">
      <c r="A76" s="29" t="s">
        <v>1926</v>
      </c>
      <c r="B76" s="29" t="s">
        <v>1927</v>
      </c>
      <c r="C76" s="29" t="s">
        <v>1928</v>
      </c>
    </row>
    <row r="77" spans="1:5" ht="32.1" customHeight="1" x14ac:dyDescent="0.2">
      <c r="A77" s="29" t="s">
        <v>1929</v>
      </c>
      <c r="B77" s="29" t="s">
        <v>1930</v>
      </c>
      <c r="C77" s="29" t="s">
        <v>1931</v>
      </c>
    </row>
    <row r="78" spans="1:5" ht="32.1" customHeight="1" x14ac:dyDescent="0.2">
      <c r="A78" s="29" t="s">
        <v>1932</v>
      </c>
      <c r="B78" s="29" t="s">
        <v>1933</v>
      </c>
      <c r="C78" s="29" t="s">
        <v>1901</v>
      </c>
    </row>
    <row r="79" spans="1:5" ht="32.1" customHeight="1" x14ac:dyDescent="0.2">
      <c r="A79" s="29" t="s">
        <v>1934</v>
      </c>
      <c r="B79" s="29" t="s">
        <v>1935</v>
      </c>
      <c r="C79" s="29" t="s">
        <v>1936</v>
      </c>
    </row>
    <row r="80" spans="1:5" ht="32.1" customHeight="1" x14ac:dyDescent="0.2">
      <c r="A80" s="29" t="s">
        <v>1937</v>
      </c>
      <c r="B80" s="29" t="s">
        <v>1938</v>
      </c>
      <c r="C80" s="29" t="s">
        <v>1939</v>
      </c>
    </row>
    <row r="81" spans="1:3" ht="32.1" customHeight="1" x14ac:dyDescent="0.2">
      <c r="A81" s="29" t="s">
        <v>1940</v>
      </c>
      <c r="B81" s="29" t="s">
        <v>1941</v>
      </c>
      <c r="C81" s="29" t="s">
        <v>1848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CMS-Quản lý gói cước</vt:lpstr>
      <vt:lpstr>Kỹ thuật thiết kế 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Quân Mẫn</cp:lastModifiedBy>
  <dcterms:created xsi:type="dcterms:W3CDTF">2026-10-02T13:46:50Z</dcterms:created>
  <dcterms:modified xsi:type="dcterms:W3CDTF">2026-10-02T14:00:54Z</dcterms:modified>
</cp:coreProperties>
</file>