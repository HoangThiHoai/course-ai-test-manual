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f1ae0ab2329dbf8/Desktop/CUA_EM_HOAI/AI Study/course-ai-test-manual/docs/testcases/goi-cuoc/web/"/>
    </mc:Choice>
  </mc:AlternateContent>
  <xr:revisionPtr revIDLastSave="1" documentId="11_86A289BFF71B70060C120FB55CA866BB89AF061D" xr6:coauthVersionLast="47" xr6:coauthVersionMax="47" xr10:uidLastSave="{B6048C95-1B1B-48F8-9AD9-790B44C460B1}"/>
  <bookViews>
    <workbookView minimized="1" xWindow="7545" yWindow="3990" windowWidth="21600" windowHeight="11295" xr2:uid="{00000000-000D-0000-FFFF-FFFF00000000}"/>
  </bookViews>
  <sheets>
    <sheet name="Chitiet_Banhanh_goicuoc" sheetId="1" r:id="rId1"/>
    <sheet name="Kỹ thuật thiết kế T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6" i="1" l="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49" i="1"/>
  <c r="A148" i="1"/>
  <c r="A147" i="1"/>
  <c r="A146" i="1"/>
  <c r="A145" i="1"/>
  <c r="A144" i="1"/>
  <c r="A143" i="1"/>
  <c r="A142" i="1"/>
  <c r="A140" i="1"/>
  <c r="A139" i="1"/>
  <c r="A138" i="1"/>
  <c r="A137" i="1"/>
  <c r="A136" i="1"/>
  <c r="A135" i="1"/>
  <c r="A134" i="1"/>
  <c r="A133" i="1"/>
  <c r="A132"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4" i="1"/>
  <c r="A103" i="1"/>
  <c r="A102" i="1"/>
  <c r="A101" i="1"/>
  <c r="A100" i="1"/>
  <c r="A99" i="1"/>
  <c r="A98" i="1"/>
  <c r="A97" i="1"/>
  <c r="A96" i="1"/>
  <c r="A95" i="1"/>
  <c r="A94" i="1"/>
  <c r="A90" i="1"/>
  <c r="A89" i="1"/>
  <c r="A88" i="1"/>
  <c r="A87" i="1"/>
  <c r="A86" i="1"/>
  <c r="A84" i="1"/>
  <c r="A83" i="1"/>
  <c r="A82" i="1"/>
  <c r="A81" i="1"/>
  <c r="A80" i="1"/>
  <c r="A79" i="1"/>
  <c r="A78" i="1"/>
  <c r="A77" i="1"/>
  <c r="A76" i="1"/>
  <c r="A75" i="1"/>
  <c r="A74" i="1"/>
  <c r="A73" i="1"/>
  <c r="A72" i="1"/>
  <c r="A71" i="1"/>
  <c r="A70" i="1"/>
  <c r="A69" i="1"/>
  <c r="A68" i="1"/>
  <c r="A66" i="1"/>
  <c r="A65" i="1"/>
  <c r="A64" i="1"/>
  <c r="A63" i="1"/>
  <c r="A62" i="1"/>
  <c r="A61" i="1"/>
  <c r="A60" i="1"/>
  <c r="A59" i="1"/>
  <c r="A58" i="1"/>
  <c r="A57" i="1"/>
  <c r="A55" i="1"/>
  <c r="A54" i="1"/>
  <c r="A53" i="1"/>
  <c r="A52" i="1"/>
  <c r="A51" i="1"/>
  <c r="A50" i="1"/>
  <c r="A49" i="1"/>
  <c r="A48" i="1"/>
  <c r="A47" i="1"/>
  <c r="A46" i="1"/>
  <c r="A45" i="1"/>
  <c r="A44" i="1"/>
  <c r="A43" i="1"/>
  <c r="A42" i="1"/>
  <c r="A41" i="1"/>
  <c r="A39" i="1"/>
  <c r="A38" i="1"/>
  <c r="A37" i="1"/>
  <c r="A36" i="1"/>
  <c r="A35" i="1"/>
  <c r="A34" i="1"/>
  <c r="A33" i="1"/>
  <c r="A32" i="1"/>
  <c r="A31" i="1"/>
  <c r="A30" i="1"/>
  <c r="A29" i="1"/>
  <c r="A28" i="1"/>
  <c r="A27" i="1"/>
  <c r="A26" i="1"/>
  <c r="A25" i="1"/>
  <c r="A24" i="1"/>
  <c r="A23" i="1"/>
  <c r="A22" i="1"/>
  <c r="A21" i="1"/>
  <c r="A19" i="1"/>
  <c r="A18" i="1"/>
  <c r="A17" i="1"/>
  <c r="A16" i="1"/>
  <c r="A15" i="1"/>
  <c r="C9" i="1"/>
  <c r="C8" i="1"/>
  <c r="C7" i="1"/>
  <c r="C6" i="1"/>
</calcChain>
</file>

<file path=xl/sharedStrings.xml><?xml version="1.0" encoding="utf-8"?>
<sst xmlns="http://schemas.openxmlformats.org/spreadsheetml/2006/main" count="1150" uniqueCount="840">
  <si>
    <t>TỔNG CÔNG TY CỔ PHẦN BƯU CHÍNH VIETTEL
 KỊCH BẢN KIỂM THỬ</t>
  </si>
  <si>
    <t>Chức năng</t>
  </si>
  <si>
    <t>Quản lý gói cước - UC3 Xem chi tiết gói cước, UC4 Ban hành (Phát hành) gói cước (CMS admin)</t>
  </si>
  <si>
    <t>Link TL + task</t>
  </si>
  <si>
    <t>SRS: TLNV_Tổng đài Tammi_Gói cước_phase 1 - tab Quản lý gói cước (UC xem chi tiết gói cước, UC Ban hành gói cước) + tab Luồng mua gói cước trên web OA (hiển thị gói) | Figma: [WEB] Tammi OA - section Chi tiết gói cước node 34842-144249</t>
  </si>
  <si>
    <t>ID</t>
  </si>
  <si>
    <t>TC</t>
  </si>
  <si>
    <t>Người tạo</t>
  </si>
  <si>
    <t>Số lượng Testcase</t>
  </si>
  <si>
    <t>Số testcase đạt (Pass)</t>
  </si>
  <si>
    <t>Số testcase không đạt (Fail)</t>
  </si>
  <si>
    <t>Số testcase N/A</t>
  </si>
  <si>
    <t>Mục đích</t>
  </si>
  <si>
    <t>Các bước thực hiện kiểm thử</t>
  </si>
  <si>
    <t>Kết quả mong muốn</t>
  </si>
  <si>
    <t>Dữ liệu kiểm thử</t>
  </si>
  <si>
    <t>Ngày tạo TCs</t>
  </si>
  <si>
    <t>Người thực hiện</t>
  </si>
  <si>
    <t>Ngày thực hiện</t>
  </si>
  <si>
    <t>Log ngày Test lại</t>
  </si>
  <si>
    <t xml:space="preserve">Trạng thái
</t>
  </si>
  <si>
    <t>Test sau Upcode</t>
  </si>
  <si>
    <t>Ghi chú</t>
  </si>
  <si>
    <t>UC3: (CMS admin) Chức năng Xem chi tiết gói cước</t>
  </si>
  <si>
    <t xml:space="preserve">Pre-condition: 
Bước 1: Admin đăng nhập thành công vào hệ thống CMS
Bước 2: Click menu Quản lý gói cước &gt; mở rộng 1 loại gói cước
Bước 3: Click icon (i) tại cột Thao tác của 1 gói cước
</t>
  </si>
  <si>
    <t>Kiểm tra gui UI/UX</t>
  </si>
  <si>
    <t>Kiểm tra UI</t>
  </si>
  <si>
    <t>Kiểm tra hiển thị giao diện mặc định</t>
  </si>
  <si>
    <t>1. Kiểm tra hiển thị màn Chi tiết gói cước</t>
  </si>
  <si>
    <t>1. Hiển thị màn hình gồm:
+ Thanh tiêu đề: nút Quay lại, tiêu đề, trạng thái gói, các button thao tác
+ Khối Thông tin cơ bản
+ Khối Thuộc tính
+ Khối Danh sách tính năng theo loại gói</t>
  </si>
  <si>
    <t>24/09/2026</t>
  </si>
  <si>
    <t>Mục QL gói cước - UC xem chi tiết gói cước - Mô tả màn hình. SRS không có ảnh màn Chi tiết, chưa đối chiếu Figma</t>
  </si>
  <si>
    <t>Kiểm tra tổng thể giao diện màn hình</t>
  </si>
  <si>
    <t>1. Kiểm tra về bố cục, font chữ, chính tả, màu chữ</t>
  </si>
  <si>
    <t>1. 
- Các label, có độ dài, rộng và khoảng cách bằng nhau, không xô lệch
- Các label sử dụng cùng 1 loại font, cỡ chữ, căn lề
- Kiểm tra tất cả lỗi về chính tả, cấu trúc câu, ngữ pháp trên màn hình
- Form được bố trí hợp lý và dễ sử dụng</t>
  </si>
  <si>
    <t>Kiểm tra thứ tự di chuyển trỏ trên màn hình khi nhấn phím Tab</t>
  </si>
  <si>
    <t>1. Nhấn Tab liên tục</t>
  </si>
  <si>
    <t>1. Con trỏ di chuyển lần lượt qua các button thao tác theo thứ tự: Từ trái qua phải, từ trên xuống dưới; không dừng tại các trường read-only có thể nhập</t>
  </si>
  <si>
    <t>Kiểm tra thứ tự con trỏ di chuyển ngược lại trên màn hình khi nhấn Shift-Tab</t>
  </si>
  <si>
    <t>1. Nhấn phím Shift-Tab liên tục</t>
  </si>
  <si>
    <t>1. Con trỏ di chuyển ngược lại theo thứ tự: từ dưới lên trên, từ phải qua trái</t>
  </si>
  <si>
    <t>Kiểm tra giao diện khi thu nhỏ, phóng to</t>
  </si>
  <si>
    <t>1. Trên màn hình chức năng
2. Nhấn tổ hợp phím Ctrl -
3. Nhấn tổ hợp phím Ctrl +</t>
  </si>
  <si>
    <t>3. Màn hình thu nhỏ, phóng to tương ứng và không bị vỡ giao diện</t>
  </si>
  <si>
    <t>Thanh tiêu đề (Header)</t>
  </si>
  <si>
    <t>Nút Quay lại</t>
  </si>
  <si>
    <t>Kiểm tra hiển thị nút Quay lại</t>
  </si>
  <si>
    <t>1. Kiểm tra góc trái thanh tiêu đề</t>
  </si>
  <si>
    <t>1. Hiển thị icon mũi tên (←) viền tròn</t>
  </si>
  <si>
    <t>Mục QL gói cước - UC xem chi tiết gói cước STT 1</t>
  </si>
  <si>
    <t>Kiểm tra click nút Quay lại</t>
  </si>
  <si>
    <t>1. Click nút Quay lại (←)</t>
  </si>
  <si>
    <t>1. Quay lại màn hình Quản lý gói cước</t>
  </si>
  <si>
    <t>Mục QL gói cước - UC xem chi tiết gói cước STT 1, AF_01</t>
  </si>
  <si>
    <t>Kiểm tra click Back của trình duyệt</t>
  </si>
  <si>
    <t>1. Click Back trên trình duyệt</t>
  </si>
  <si>
    <t>SRS chỉ mô tả nút ← - Cần BA confirm</t>
  </si>
  <si>
    <t>Tiêu đề trang</t>
  </si>
  <si>
    <t>Kiểm tra text tiêu đề trang</t>
  </si>
  <si>
    <t>1. Kiểm tra tiêu đề</t>
  </si>
  <si>
    <t>1. Hiển thị tiêu đề: "Chi tiết gói cước"</t>
  </si>
  <si>
    <t>Mục QL gói cước - UC xem chi tiết gói cước STT 2</t>
  </si>
  <si>
    <t>Trạng thái gói cước</t>
  </si>
  <si>
    <t>Kiểm tra hiển thị trạng thái Nháp</t>
  </si>
  <si>
    <t>ĐK: Gói ở trạng thái Nháp
1. Kiểm tra trạng thái trên thanh tiêu đề</t>
  </si>
  <si>
    <t>1. Hiển thị trạng thái "Nháp"</t>
  </si>
  <si>
    <t>Mục QL gói cước - UC xem chi tiết gói cước - Trạng thái gói cước - Kỹ thuật: Phân vùng tương đương</t>
  </si>
  <si>
    <t>Kiểm tra hiển thị trạng thái Đã phát hành</t>
  </si>
  <si>
    <t>ĐK: Gói ở trạng thái Đã phát hành
1. Kiểm tra trạng thái</t>
  </si>
  <si>
    <t>1. Hiển thị trạng thái "Đã phát hành"</t>
  </si>
  <si>
    <t>Mục QL gói cước - UC xem chi tiết gói cước - Kỹ thuật: Phân vùng tương đương</t>
  </si>
  <si>
    <t>Kiểm tra hiển thị trạng thái Đang kinh doanh</t>
  </si>
  <si>
    <t>ĐK: Gói ở trạng thái Đang kinh doanh
1. Kiểm tra trạng thái</t>
  </si>
  <si>
    <t>1. Hiển thị trạng thái "Đang kinh doanh"</t>
  </si>
  <si>
    <t>Kiểm tra hiển thị trạng thái Ngừng kinh doanh</t>
  </si>
  <si>
    <t>ĐK: Gói ở trạng thái Ngừng kinh doanh
1. Kiểm tra trạng thái</t>
  </si>
  <si>
    <t>1. Hiển thị trạng thái "Ngừng kinh doanh"</t>
  </si>
  <si>
    <t>Kiểm tra trạng thái trên màn chi tiết khớp với danh sách</t>
  </si>
  <si>
    <t>1. Ghi nhận trạng thái gói tại danh sách
2. Mở chi tiết gói đó</t>
  </si>
  <si>
    <t>2. Trạng thái trên màn chi tiết giống cột Trạng thái tại danh sách</t>
  </si>
  <si>
    <t>Mục QL gói cước - UC xem chi tiết gói cước - SRS chưa nêu dạng hiển thị (text hay status pill màu) - Cần BA confirm</t>
  </si>
  <si>
    <t>Button Chỉnh sửa</t>
  </si>
  <si>
    <t>Kiểm tra hiển thị button Chỉnh sửa ở mọi trạng thái</t>
  </si>
  <si>
    <t>ĐK: Lần lượt mở gói Nháp / Đã phát hành / Đang kinh doanh / Ngừng kinh doanh
1. Kiểm tra button Chỉnh sửa</t>
  </si>
  <si>
    <t>1. Button "Chỉnh sửa" nền đen bo góc, góc phải, enable ở cả 4 trạng thái</t>
  </si>
  <si>
    <t>Mục QL gói cước - UC xem chi tiết gói cước STT 3 - Kỹ thuật: Bảng quyết định</t>
  </si>
  <si>
    <t>Kiểm tra click button Chỉnh sửa</t>
  </si>
  <si>
    <t>1. Click button Chỉnh sửa</t>
  </si>
  <si>
    <t>1. Điều hướng sang màn Chỉnh sửa gói cước, hiển thị đúng dữ liệu của gói đang xem</t>
  </si>
  <si>
    <t>Mục QL gói cước - UC xem chi tiết gói cước STT 3</t>
  </si>
  <si>
    <t>Button Xoá</t>
  </si>
  <si>
    <t>Kiểm tra hiển thị button Xoá</t>
  </si>
  <si>
    <t>ĐK: Lần lượt mở gói ở 4 trạng thái
1. Kiểm tra button Xoá</t>
  </si>
  <si>
    <t>1. Button Xoá enable ở tất cả trạng thái</t>
  </si>
  <si>
    <t>Mục QL gói cước - UC xem chi tiết gói cước - Kỹ thuật: Bảng quyết định. Mâu thuẫn: mô tả màn chi tiết ghi "Enable tại tất cả trạng thái" nhưng bảng Trạng thái gói cước ghi Đang kinh doanh tuyệt đối không được xoá - Cần BA confirm</t>
  </si>
  <si>
    <t>Kiểm tra click button Xoá</t>
  </si>
  <si>
    <t>ĐK: Gói ở trạng thái Nháp
1. Click button Xoá</t>
  </si>
  <si>
    <t>1. Hiển thị popup xác nhận xoá theo UC Xoá gói cước</t>
  </si>
  <si>
    <t>Mục QL gói cước - UC xem chi tiết gói cước - UC xoá chưa mô tả chi tiết, Cần BA confirm</t>
  </si>
  <si>
    <t>Kiểm tra xoá gói Đang kinh doanh</t>
  </si>
  <si>
    <t>ĐK: Gói ở trạng thái Đang kinh doanh
1. Click button Xoá
2. Xác nhận xoá</t>
  </si>
  <si>
    <t>2. Hệ thống chặn không cho xoá, gói giữ nguyên trạng thái Đang kinh doanh</t>
  </si>
  <si>
    <t>Bảng Trạng thái gói cước STT 3 - Kỹ thuật: Sơ đồ chuyển trạng thái (chuyển không hợp lệ) - Cần BA confirm</t>
  </si>
  <si>
    <t>Button Phát hành</t>
  </si>
  <si>
    <t>Kiểm tra hiển thị button Phát hành khi gói ở trạng thái Nháp</t>
  </si>
  <si>
    <t>ĐK: Gói ở trạng thái Nháp
1. Kiểm tra thanh tiêu đề</t>
  </si>
  <si>
    <t>1. Hiển thị button "Phát hành", trạng thái enable</t>
  </si>
  <si>
    <t>Mục QL gói cước - UC xem chi tiết gói cước BR_02; Mục QL gói cước - UC Ban hành gói cước BR_01 - Kỹ thuật: Bảng quyết định</t>
  </si>
  <si>
    <t>Kiểm tra ẩn button Phát hành khi gói ở trạng thái Đã phát hành</t>
  </si>
  <si>
    <t>ĐK: Gói ở trạng thái Đã phát hành
1. Kiểm tra thanh tiêu đề</t>
  </si>
  <si>
    <t>1. Không hiển thị button Phát hành</t>
  </si>
  <si>
    <t>Mục QL gói cước - UC xem chi tiết gói cước BR_02 - Kỹ thuật: Bảng quyết định</t>
  </si>
  <si>
    <t>Kiểm tra ẩn button Phát hành khi gói ở trạng thái Đang kinh doanh</t>
  </si>
  <si>
    <t>ĐK: Gói ở trạng thái Đang kinh doanh
1. Kiểm tra thanh tiêu đề</t>
  </si>
  <si>
    <t>Kiểm tra ẩn button Phát hành khi gói ở trạng thái Ngừng kinh doanh</t>
  </si>
  <si>
    <t>ĐK: Gói ở trạng thái Ngừng kinh doanh
1. Kiểm tra thanh tiêu đề</t>
  </si>
  <si>
    <t>Kiểm tra click button Phát hành</t>
  </si>
  <si>
    <t>ĐK: Gói ở trạng thái Nháp
1. Click button Phát hành</t>
  </si>
  <si>
    <t>1. Hiển thị popup xác nhận phát hành theo UC Ban hành gói cước</t>
  </si>
  <si>
    <t>Mục QL gói cước - UC xem chi tiết gói cước - Phát hành</t>
  </si>
  <si>
    <t>Khối Thông tin cơ bản</t>
  </si>
  <si>
    <t>Chế độ chỉ đọc</t>
  </si>
  <si>
    <t>Kiểm tra toàn bộ trường ở chế độ chỉ đọc</t>
  </si>
  <si>
    <t>1. Lần lượt click và thử nhập vào tất cả các trường trên màn chi tiết</t>
  </si>
  <si>
    <t>1. 
- Tất cả trường nền xám nhạt, disabled
- Không cho phép nhập, chọn, thêm hoặc xoá dữ liệu</t>
  </si>
  <si>
    <t>Mục QL gói cước - UC xem chi tiết gói cước BR_01</t>
  </si>
  <si>
    <t>Kiểm tra không thay đổi dữ liệu khi xem chi tiết</t>
  </si>
  <si>
    <t>1. Ghi nhận updated_at, updated_by của gói trong DB
2. Mở màn chi tiết, thao tác cuộn/click các trường
3. Kiểm tra lại DB</t>
  </si>
  <si>
    <t>3. Không có bản ghi nào thay đổi (updated_at, updated_by giữ nguyên)</t>
  </si>
  <si>
    <t>Mục QL gói cước - UC xem chi tiết gói cước Post-condition</t>
  </si>
  <si>
    <t>Mã gói cước</t>
  </si>
  <si>
    <t>Kiểm tra hiển thị Mã gói cước</t>
  </si>
  <si>
    <t>1. Kiểm tra trường Mã gói cước</t>
  </si>
  <si>
    <t>1. Label "Mã gói cước *", giá trị text in hoa đúng mã đã tạo</t>
  </si>
  <si>
    <t>OAPLUS30</t>
  </si>
  <si>
    <t>Mục QL gói cước - UC xem chi tiết gói cước STT 4</t>
  </si>
  <si>
    <t>Tag</t>
  </si>
  <si>
    <t>Kiểm tra hiển thị Tag có dữ liệu</t>
  </si>
  <si>
    <t>ĐK: Gói có Tag "tammi"
1. Kiểm tra trường Tag</t>
  </si>
  <si>
    <t>1. Hiển thị "tammi"</t>
  </si>
  <si>
    <t>tammi</t>
  </si>
  <si>
    <t>Mục QL gói cước - UC xem chi tiết gói cước STT 5 - Kỹ thuật: Phân vùng tương đương</t>
  </si>
  <si>
    <t>Kiểm tra hiển thị Tag không có dữ liệu</t>
  </si>
  <si>
    <t>ĐK: Gói tạo không nhập Tag
1. Kiểm tra trường Tag</t>
  </si>
  <si>
    <t>1. Trường Tag hiển thị rỗng, không lỗi layout</t>
  </si>
  <si>
    <t>Mục QL gói cước - UC xem chi tiết gói cước STT 5 - Kỹ thuật: Phân vùng tương đương. SRS chưa nêu hiển thị rỗng hay "---", Cần BA confirm</t>
  </si>
  <si>
    <t>Mô tả</t>
  </si>
  <si>
    <t>Kiểm tra hiển thị Mô tả</t>
  </si>
  <si>
    <t>1. Kiểm tra trường Mô tả</t>
  </si>
  <si>
    <t>1. Hiển thị đúng nội dung mô tả đã nhập, giữ định dạng gạch đầu dòng</t>
  </si>
  <si>
    <t>oa plus 30 NGÀY</t>
  </si>
  <si>
    <t>Mục QL gói cước - UC xem chi tiết gói cước STT 6 - Màn chi tiết có * nhưng UC2 ghi Mô tả không bắt buộc - Cần BA confirm</t>
  </si>
  <si>
    <t>Kiểm tra hiển thị Mô tả dài 500 ký tự</t>
  </si>
  <si>
    <t>ĐK: Gói có mô tả 500 ký tự
1. Kiểm tra trường Mô tả</t>
  </si>
  <si>
    <t>1. Hiển thị đủ 500 ký tự (có thanh cuộn nếu vượt khung), không vỡ layout</t>
  </si>
  <si>
    <t>Chuỗi 500 ký tự</t>
  </si>
  <si>
    <t>Mục QL gói cước - UC xem chi tiết gói cước STT 6 - Kỹ thuật: Phân tích giá trị biên</t>
  </si>
  <si>
    <t>Chu kỳ &amp; Đơn vị</t>
  </si>
  <si>
    <t>Kiểm tra hiển thị Chu kỳ và Đơn vị</t>
  </si>
  <si>
    <t>1. Kiểm tra trường Chu kỳ, Đơn vị</t>
  </si>
  <si>
    <t>1. Hiển thị đúng giá trị và đơn vị đã lưu khi tạo</t>
  </si>
  <si>
    <t>30 - Ngày</t>
  </si>
  <si>
    <t>Mục QL gói cước - UC xem chi tiết gói cước STT 7, 8</t>
  </si>
  <si>
    <t>Kiểm tra Đơn vị hiển thị đúng đơn vị đã chọn, không quy đổi</t>
  </si>
  <si>
    <t>ĐK: Có gói 2 Tuần, 12 Tháng, 1 Năm
1. Lần lượt mở chi tiết</t>
  </si>
  <si>
    <t>1. Hiển thị đúng: 2 - Tuần, 12 - Tháng, 1 - Năm</t>
  </si>
  <si>
    <t>Mục QL gói cước - UC xem chi tiết gói cước STT 8 - Kỹ thuật: Phân vùng tương đương</t>
  </si>
  <si>
    <t>Giá gốc</t>
  </si>
  <si>
    <t>Kiểm tra hiển thị Giá gốc</t>
  </si>
  <si>
    <t>1. Kiểm tra trường Giá gốc</t>
  </si>
  <si>
    <t>1. Hiển thị số tiền có dấu chấm phân cách hàng nghìn</t>
  </si>
  <si>
    <t>1.119.000</t>
  </si>
  <si>
    <t>Mục QL gói cước - UC xem chi tiết gói cước STT 9</t>
  </si>
  <si>
    <t>Kiểm tra hiển thị giá gốc giá trị lớn</t>
  </si>
  <si>
    <t>ĐK: Gói có giá 9.999.999.999.999
1. Kiểm tra Giá gốc</t>
  </si>
  <si>
    <t>1. Hiển thị đủ "9.999.999.999.999", không vỡ layout</t>
  </si>
  <si>
    <t>Mục QL gói cước - UC xem chi tiết gói cước STT 9 - Kỹ thuật: Phân tích giá trị biên</t>
  </si>
  <si>
    <t>Đơn vị tính</t>
  </si>
  <si>
    <t>Kiểm tra hiển thị Đơn vị tính</t>
  </si>
  <si>
    <t>1. Kiểm tra trường Đơn vị tính</t>
  </si>
  <si>
    <t>1. Hiển thị "VNĐ"</t>
  </si>
  <si>
    <t>Mục QL gói cước - UC xem chi tiết gói cước STT 10</t>
  </si>
  <si>
    <t>Người cập nhật</t>
  </si>
  <si>
    <t>Kiểm tra hiển thị Người cập nhật</t>
  </si>
  <si>
    <t>1. Kiểm tra trường Người cập nhật</t>
  </si>
  <si>
    <t>1. Hiển thị họ tên Admin cập nhật gói gần nhất</t>
  </si>
  <si>
    <t>Mục QL gói cước - UC xem chi tiết gói cước - Người cập nhật</t>
  </si>
  <si>
    <t>Thời gian cập nhật</t>
  </si>
  <si>
    <t>Kiểm tra hiển thị Thời gian cập nhật</t>
  </si>
  <si>
    <t>1. Kiểm tra trường Thời gian cập nhật</t>
  </si>
  <si>
    <t>1. Hiển thị thời gian cập nhật gần nhất, định dạng DD/MM/YYYY HH:mm:ss</t>
  </si>
  <si>
    <t>Mục QL gói cước - UC xem chi tiết gói cước - SRS chưa nêu định dạng, lấy theo cột danh sách - Cần BA confirm</t>
  </si>
  <si>
    <t>Kiểm tra Người/Thời gian cập nhật sau khi phát hành</t>
  </si>
  <si>
    <t>1. Admin B phát hành gói Nháp
2. Kiểm tra màn chi tiết</t>
  </si>
  <si>
    <t>2. Người cập nhật = Admin B, Thời gian cập nhật = thời điểm phát hành</t>
  </si>
  <si>
    <t>Mục QL gói cước - UC Ban hành gói cước Bước 4.2</t>
  </si>
  <si>
    <t>Khối Thuộc tính</t>
  </si>
  <si>
    <t>Loại hình gói</t>
  </si>
  <si>
    <t>Kiểm tra hiển thị Loại hình gói = Gói chính</t>
  </si>
  <si>
    <t>ĐK: Gói là Gói chính
1. Kiểm tra Loại hình gói</t>
  </si>
  <si>
    <t>1. Radio "Gói chính" được chọn, "Gói add-on" không chọn, cả 2 disabled</t>
  </si>
  <si>
    <t>Mục QL gói cước - UC xem chi tiết gói cước STT 11 - Kỹ thuật: Phân vùng tương đương</t>
  </si>
  <si>
    <t>Kiểm tra hiển thị Loại hình gói = Gói add-on</t>
  </si>
  <si>
    <t>ĐK: Gói là Gói add-on
1. Kiểm tra Loại hình gói</t>
  </si>
  <si>
    <t>1. Radio "Gói add-on" được chọn, disabled</t>
  </si>
  <si>
    <t>Kênh bán</t>
  </si>
  <si>
    <t>Kiểm tra hiển thị Kênh bán 1 kênh</t>
  </si>
  <si>
    <t>ĐK: Gói chỉ có kênh Web OA
1. Kiểm tra Kênh bán</t>
  </si>
  <si>
    <t>1. Checkbox "Web OA" được tích, "Miniapp gói cước TAMMI" không tích, disabled</t>
  </si>
  <si>
    <t>Mục QL gói cước - UC xem chi tiết gói cước STT 12 - Kỹ thuật: Phân vùng tương đương</t>
  </si>
  <si>
    <t>Kiểm tra hiển thị Kênh bán 2 kênh</t>
  </si>
  <si>
    <t>ĐK: Gói có cả 2 kênh
1. Kiểm tra Kênh bán</t>
  </si>
  <si>
    <t>1. Cả 2 checkbox được tích, disabled</t>
  </si>
  <si>
    <t>Bật/tắt trạng thái</t>
  </si>
  <si>
    <t>Kiểm tra hiển thị khi Bật/tắt trạng thái = Tự động</t>
  </si>
  <si>
    <t>ĐK: Gói có Bật/tắt trạng thái = Tự động
1. Kiểm tra khối Thuộc tính</t>
  </si>
  <si>
    <t>1. 
- "Tự động" được chọn, disabled
- Hiển thị Thời gian bắt đầu, Thời gian kết thúc
- Không hiển thị Trạng thái kinh doanh</t>
  </si>
  <si>
    <t>Mục QL gói cước - UC xem chi tiết gói cước STT 13-15 - Kỹ thuật: Bảng quyết định</t>
  </si>
  <si>
    <t>Kiểm tra hiển thị khi Bật/tắt trạng thái = Thủ công</t>
  </si>
  <si>
    <t>ĐK: Gói có Bật/tắt trạng thái = Thủ công
1. Kiểm tra khối Thuộc tính</t>
  </si>
  <si>
    <t>1. 
- "Thủ công" được chọn, disabled
- Hiển thị Trạng thái kinh doanh
- Không hiển thị Thời gian bắt đầu, kết thúc</t>
  </si>
  <si>
    <t>Mục QL gói cước - UC xem chi tiết gói cước STT 13 - Kỹ thuật: Bảng quyết định</t>
  </si>
  <si>
    <t>Thời gian bắt đầu / kết thúc</t>
  </si>
  <si>
    <t>Kiểm tra định dạng Thời gian bắt đầu, kết thúc</t>
  </si>
  <si>
    <t>ĐK: Tự động
1. Kiểm tra Thời gian bắt đầu, kết thúc</t>
  </si>
  <si>
    <t>1. Hiển thị đúng thời gian đã lưu, định dạng DD/MM/YYYY hh:mm:ss</t>
  </si>
  <si>
    <t>01/10/2026 08:00:00</t>
  </si>
  <si>
    <t>Mục QL gói cước - UC xem chi tiết gói cước STT 14, 15 - giá trị mẫu SRS "11/09/2026" thiếu giờ - Cần BA confirm</t>
  </si>
  <si>
    <t>Trạng thái kinh doanh</t>
  </si>
  <si>
    <t>Kiểm tra hiển thị Trạng thái kinh doanh</t>
  </si>
  <si>
    <t>ĐK: Thủ công, lần lượt gói có Trạng thái kinh doanh = Đang kinh doanh / Ngừng kinh doanh
1. Kiểm tra trường</t>
  </si>
  <si>
    <t>1. Hiển thị đúng giá trị đã lưu: "Đang kinh doanh" / "Ngừng kinh doanh"</t>
  </si>
  <si>
    <t>Mục QL gói cước - UC xem chi tiết gói cước - Kỹ thuật: Phân vùng tương đương. SRS ghi component "Read-only Date Input" (sai kiểu) - Cần BA confirm</t>
  </si>
  <si>
    <t>Số lượng đăng ký giới hạn</t>
  </si>
  <si>
    <t>Kiểm tra hiển thị Số lượng đăng ký giới hạn có giá trị</t>
  </si>
  <si>
    <t>ĐK: Gói có giới hạn 1
1. Kiểm tra trường</t>
  </si>
  <si>
    <t>1. Hiển thị "1"</t>
  </si>
  <si>
    <t>1</t>
  </si>
  <si>
    <t>Kiểm tra hiển thị Số lượng đăng ký giới hạn khi không giới hạn</t>
  </si>
  <si>
    <t>ĐK: Gói có giới hạn = null hoặc 0
1. Kiểm tra trường</t>
  </si>
  <si>
    <t>1. Hiển thị rỗng / "0" theo quy ước không giới hạn</t>
  </si>
  <si>
    <t>0 / null</t>
  </si>
  <si>
    <t>Mục QL gói cước - UC xem chi tiết gói cước - Kỹ thuật: Phân tích giá trị biên. SRS chưa nêu cách hiển thị khi không giới hạn, Cần BA confirm</t>
  </si>
  <si>
    <t>Khối Danh sách tính năng theo loại gói</t>
  </si>
  <si>
    <t>Loại gói cước</t>
  </si>
  <si>
    <t>Kiểm tra hiển thị Loại gói cước</t>
  </si>
  <si>
    <t>1. Kiểm tra trường Loại gói cước</t>
  </si>
  <si>
    <t>1. Hiển thị tên loại gói cước cha, nền xám nhạt</t>
  </si>
  <si>
    <t>Plus OA Business</t>
  </si>
  <si>
    <t>Mục QL gói cước - UC xem chi tiết gói cước STT 16</t>
  </si>
  <si>
    <t>Bảng tính năng</t>
  </si>
  <si>
    <t>Kiểm tra các cột bảng tính năng</t>
  </si>
  <si>
    <t>1. Kiểm tra header bảng</t>
  </si>
  <si>
    <t>1. Hiển thị các cột: STT, Mã tính năng, Tên tính năng, Nhóm tính năng, Tham số, Mô tả, Đánh dấu hiển thị</t>
  </si>
  <si>
    <t>Mục QL gói cước - UC xem chi tiết gói cước STT 17-23. Cột Mô tả, Đánh dấu hiển thị không có ở màn Tạo mới - Cần BA confirm</t>
  </si>
  <si>
    <t>Kiểm tra danh sách tính năng khớp cấu hình loại gói</t>
  </si>
  <si>
    <t>1. Đối chiếu danh sách tính năng với cấu hình loại gói tại Quản lý loại gói cước</t>
  </si>
  <si>
    <t>1. Hiển thị đủ tính năng thuộc loại gói, không thừa, không thiếu</t>
  </si>
  <si>
    <t>Mục QL gói cước - UC xem chi tiết gói cước - Danh sách tính năng</t>
  </si>
  <si>
    <t>Cột STT</t>
  </si>
  <si>
    <t>Kiểm tra cột STT</t>
  </si>
  <si>
    <t>1. Kiểm tra cột STT</t>
  </si>
  <si>
    <t>1. Số thứ tự tăng dần 1, 2, 3..., căn giữa</t>
  </si>
  <si>
    <t>Mục QL gói cước - UC xem chi tiết gói cước STT 17</t>
  </si>
  <si>
    <t>Cột Mã tính năng</t>
  </si>
  <si>
    <t>Kiểm tra cột Mã tính năng</t>
  </si>
  <si>
    <t>1. Kiểm tra cột Mã tính năng</t>
  </si>
  <si>
    <t>1. Hiển thị mã tính năng, căn trái</t>
  </si>
  <si>
    <t>TM30</t>
  </si>
  <si>
    <t>Mục QL gói cước - UC xem chi tiết gói cước STT 18</t>
  </si>
  <si>
    <t>Cột Tên tính năng</t>
  </si>
  <si>
    <t>Kiểm tra hiển thị cột Tên tính năng</t>
  </si>
  <si>
    <t>1. Kiểm tra cột Tên tính năng</t>
  </si>
  <si>
    <t>1. Text màu xanh lam dạng hyperlink, căn trái</t>
  </si>
  <si>
    <t>Sách nói</t>
  </si>
  <si>
    <t>Mục QL gói cước - UC xem chi tiết gói cước STT 19</t>
  </si>
  <si>
    <t>Kiểm tra click Tên tính năng</t>
  </si>
  <si>
    <t>1. Click vào Tên tính năng</t>
  </si>
  <si>
    <t>1. Điều hướng đến màn Chi tiết tính năng tương ứng</t>
  </si>
  <si>
    <t>Mục QL gói cước - UC xem chi tiết gói cước STT 19 - SRS chưa nêu đích của link, Cần BA confirm</t>
  </si>
  <si>
    <t>Cột Nhóm tính năng</t>
  </si>
  <si>
    <t>Kiểm tra cột Nhóm tính năng</t>
  </si>
  <si>
    <t>1. Kiểm tra cột Nhóm tính năng</t>
  </si>
  <si>
    <t>1. Hiển thị tên nhóm tính năng</t>
  </si>
  <si>
    <t>Cộng đồng</t>
  </si>
  <si>
    <t>Mục QL gói cước - UC xem chi tiết gói cước STT 20</t>
  </si>
  <si>
    <t>Cột Tham số</t>
  </si>
  <si>
    <t>Kiểm tra hiển thị tham số</t>
  </si>
  <si>
    <t>1. Kiểm tra cột Tham số</t>
  </si>
  <si>
    <t>1. Mỗi tham số là 1 ô con: Tên tham số + (ĐVT: đơn vị) + giá trị bên dưới, read-only</t>
  </si>
  <si>
    <t>Số cộng đồng (ĐVT: Cộng đồng) *: 11</t>
  </si>
  <si>
    <t>Mục QL gói cước - UC xem chi tiết gói cước STT 21</t>
  </si>
  <si>
    <t>Kiểm tra giá trị tham số khớp dữ liệu đã lưu</t>
  </si>
  <si>
    <t>1. Đối chiếu giá trị tham số với bảng quyền lợi (quota_value) trong DB</t>
  </si>
  <si>
    <t>1. Giá trị hiển thị khớp DB</t>
  </si>
  <si>
    <t>Kiểm tra tham số loại On/off</t>
  </si>
  <si>
    <t>ĐK: Tính năng có tham số On/off
1. Kiểm tra ô tham số</t>
  </si>
  <si>
    <t>1. Hiển thị giá trị Có/Không đúng dữ liệu đã lưu</t>
  </si>
  <si>
    <t>Mục QL gói cước - UC xem chi tiết gói cước STT 21 - Kỹ thuật: Phân vùng tương đương. SRS chưa nêu dạng hiển thị, Cần BA confirm</t>
  </si>
  <si>
    <t>Kiểm tra tính năng có nhiều tham số</t>
  </si>
  <si>
    <t>ĐK: Tính năng có ≥ 3 tham số
1. Kiểm tra dòng tính năng, cuộn ngang</t>
  </si>
  <si>
    <t>1. Hiển thị đủ các ô tham số, không vỡ layout</t>
  </si>
  <si>
    <t>Cột Mô tả</t>
  </si>
  <si>
    <t>Kiểm tra mô tả ngắn ≤ 2 hàng</t>
  </si>
  <si>
    <t>ĐK: Mô tả tính năng hiển thị trong 2 hàng
1. Kiểm tra cột Mô tả</t>
  </si>
  <si>
    <t>1. Hiển thị đầy đủ, không có "…"</t>
  </si>
  <si>
    <t>Mục QL gói cước - UC xem chi tiết gói cước STT 22 - Kỹ thuật: Phân tích giá trị biên</t>
  </si>
  <si>
    <t>Kiểm tra mô tả dài hơn 2 hàng</t>
  </si>
  <si>
    <t>ĐK: Mô tả tính năng dài hơn 2 hàng
1. Kiểm tra cột Mô tả</t>
  </si>
  <si>
    <t>1. Hiển thị tối đa 2 hàng, phần còn lại thay bằng "…"</t>
  </si>
  <si>
    <t>Kiểm tra tooltip khi hover mô tả</t>
  </si>
  <si>
    <t>ĐK: Mô tả dài hơn 2 hàng
1. Hover vào ô Mô tả</t>
  </si>
  <si>
    <t>1. Hiển thị tooltip chứa toàn bộ mô tả</t>
  </si>
  <si>
    <t>Mục QL gói cước - UC xem chi tiết gói cước STT 22</t>
  </si>
  <si>
    <t>Đánh dấu hiển thị</t>
  </si>
  <si>
    <t>Kiểm tra tính năng được đánh dấu hiển thị</t>
  </si>
  <si>
    <t>ĐK: Tính năng có cờ hiển thị = true
1. Kiểm tra dòng tính năng</t>
  </si>
  <si>
    <t>1. Tickbox được tích, dòng tính năng hiển thị bình thường</t>
  </si>
  <si>
    <t>Mục QL gói cước - UC xem chi tiết gói cước STT 23 - Kỹ thuật: Bảng quyết định</t>
  </si>
  <si>
    <t>Kiểm tra tính năng không được đánh dấu hiển thị</t>
  </si>
  <si>
    <t>ĐK: Tính năng có cờ hiển thị = false
1. Kiểm tra dòng tính năng</t>
  </si>
  <si>
    <t>1. Tickbox không tích, dòng tính năng hiển thị ở trạng thái disable</t>
  </si>
  <si>
    <t>Mục QL gói cước - UC xem chi tiết gói cước STT 23 - Kỹ thuật: Bảng quyết định. Nguồn cờ: is_display của PLAN_TYPE_FEATURE - Cần BA confirm</t>
  </si>
  <si>
    <t>Kiểm tra ngoại lệ &amp; phi chức năng</t>
  </si>
  <si>
    <t>Lỗi mạng</t>
  </si>
  <si>
    <t>Kiểm tra mở chi tiết khi mất mạng</t>
  </si>
  <si>
    <t>1. Ngắt mạng
2. Click icon (i) tại 1 gói cước</t>
  </si>
  <si>
    <t>2. Hiển thị toast "Thất bại. Vui lòng kiểm tra lại kết nối." và cho phép thử lại</t>
  </si>
  <si>
    <t>Mục QL gói cước - UC xem chi tiết gói cước Exception 2a</t>
  </si>
  <si>
    <t>Lỗi hệ thống</t>
  </si>
  <si>
    <t>Kiểm tra mở chi tiết khi API lỗi hệ thống</t>
  </si>
  <si>
    <t>ĐK: API chi tiết trả lỗi 500
1. Click icon (i)</t>
  </si>
  <si>
    <t>1. Hiển thị toast "Hệ thống bận. Vui lòng thử lại sau." kèm mã lỗi, cho phép thử lại</t>
  </si>
  <si>
    <t>Mục QL gói cước - UC xem chi tiết gói cước Exception 2b</t>
  </si>
  <si>
    <t>Gói không tồn tại</t>
  </si>
  <si>
    <t>Kiểm tra mở chi tiết gói đã bị xoá</t>
  </si>
  <si>
    <t>ĐK: Đang ở danh sách, admin khác xoá gói A
1. Click icon (i) của gói A (hoặc mở URL chi tiết của gói A)</t>
  </si>
  <si>
    <t>1. Không hiển thị dữ liệu gói, báo gói không tồn tại / quay về danh sách</t>
  </si>
  <si>
    <t>Mục QL gói cước - UC xem chi tiết gói cước Pre-condition 2 - SRS chưa mô tả, Cần BA confirm</t>
  </si>
  <si>
    <t>Dữ liệu</t>
  </si>
  <si>
    <t>Kiểm tra toàn bộ dữ liệu khớp CSDL</t>
  </si>
  <si>
    <t>1. Mở chi tiết 1 gói
2. Đối chiếu từng trường với bản ghi plan và bảng quyền lợi</t>
  </si>
  <si>
    <t>2. Toàn bộ dữ liệu khớp CSDL</t>
  </si>
  <si>
    <t>Mục QL gói cước - UC xem chi tiết gói cước Basic flow B2</t>
  </si>
  <si>
    <t>Phân quyền</t>
  </si>
  <si>
    <t>Kiểm tra truy cập URL chi tiết khi không có quyền</t>
  </si>
  <si>
    <t>ĐK: Tài khoản không có quyền phân hệ Gói cước
1. Mở trực tiếp URL chi tiết gói</t>
  </si>
  <si>
    <t>1. Bị chặn truy cập</t>
  </si>
  <si>
    <t>NFR 3.1 - Cần BA confirm</t>
  </si>
  <si>
    <t>UC4: (CMS admin) Chức năng Ban hành (Phát hành) gói cước</t>
  </si>
  <si>
    <t xml:space="preserve">Pre-condition: 
Bước 1: Admin đăng nhập CMS, có quyền quản lý, phát hành gói cước
Bước 2: Gói cước đang ở trạng thái Nháp, thông tin và tham số tính năng đã cấu hình hợp lệ
Bước 3: Mở màn Chi tiết gói cước của gói đó
</t>
  </si>
  <si>
    <t>Kiểm tra gui UI/UX popup</t>
  </si>
  <si>
    <t>Kiểm tra giao diện chung của popup phát hành</t>
  </si>
  <si>
    <t>1. Click button Phát hành
2. Kiểm tra popup</t>
  </si>
  <si>
    <t>2. Hiển thị popup:
+ Icon cảnh báo (!)
+ Tiêu đề: "Phát hành gói cước?"
+ Icon X góc trên bên phải
+ Nội dung thông báo có {Mã gói} in đậm
+ Button phụ (viền) bên trái, button "Xác nhận" (nền đen) bên phải</t>
  </si>
  <si>
    <t>Mục QL gói cước - UC Ban hành gói cước - Mô tả màn hình. Mâu thuẫn: bảng SRS ghi tiêu đề "Xác nhận phát hành gói cước", nội dung chứa [Tên gói + Mã gói], nút "Hủy"; design ghi "Phát hành gói cước?", chỉ {Mã gói}, nút "Sửa ngày..." thay cho Hủy - Cần BA confirm</t>
  </si>
  <si>
    <t>Kiểm tra tổng thể giao diện popup</t>
  </si>
  <si>
    <t>Kiểm tra popup là modal</t>
  </si>
  <si>
    <t>ĐK: Popup đang hiển thị
1. Click vào vùng màn chi tiết phía sau popup</t>
  </si>
  <si>
    <t>1. Không thao tác được màn phía sau; popup không đóng</t>
  </si>
  <si>
    <t>SRS chưa nêu click ra ngoài có đóng popup không - Cần BA confirm</t>
  </si>
  <si>
    <t>Kiểm tra {Mã gói} trong nội dung popup là mã thật của gói</t>
  </si>
  <si>
    <t>ĐK: Gói có Mã gói cước = OAPLUS30
1. Click Phát hành
2. Kiểm tra nội dung popup</t>
  </si>
  <si>
    <t>2. Nội dung popup hiển thị đúng "OAPLUS30" in đậm tại vị trí {Mã gói}, không hiển thị nguyên chuỗi "{Mã gói}"</t>
  </si>
  <si>
    <t>Mã gói: OAPLUS30</t>
  </si>
  <si>
    <t>30/09/2026</t>
  </si>
  <si>
    <t>[Bổ sung 30/09/2026] Figma 5 popup "Phát hành gói cước?" - UC Ban hành gói cước STT 3</t>
  </si>
  <si>
    <t>Kiểm tra popup khi Mã gói dài tối đa 50 ký tự</t>
  </si>
  <si>
    <t>ĐK: Gói có Mã gói cước dài 50 ký tự
1. Click Phát hành
2. Kiểm tra hiển thị popup</t>
  </si>
  <si>
    <t>2. Mã gói hiển thị đủ 50 ký tự, tự xuống dòng trong popup, không tràn khung, không che button</t>
  </si>
  <si>
    <t>Mã gói 50 ký tự: AUTOBANHANHOAPLUS30NGAY1234567890ABCDEFGHIJKLMNOPQ</t>
  </si>
  <si>
    <t>[Bổ sung 30/09/2026] UC2 tạo mới STT 1 (VARCHAR 50) - Kỹ thuật: Phân tích giá trị biên</t>
  </si>
  <si>
    <t>Kiểm tra lớp phủ nền và vị trí popup</t>
  </si>
  <si>
    <t>1. Click Phát hành
2. Kiểm tra hiển thị</t>
  </si>
  <si>
    <t>2. 
- Popup hiển thị giữa màn hình
- Màn chi tiết phía sau bị phủ nền tối theo design</t>
  </si>
  <si>
    <t>[Bổ sung 30/09/2026] Figma popup Phát hành gói cước</t>
  </si>
  <si>
    <t>Kiểm tra thứ tự di chuyển trỏ trong popup khi nhấn phím Tab</t>
  </si>
  <si>
    <t>1. Click Phát hành
2. Nhấn Tab liên tục</t>
  </si>
  <si>
    <t>2. Con trỏ di chuyển lần lượt: icon X → button phụ ("Sửa ...") → "Xác nhận"; không nhảy ra màn phía sau popup</t>
  </si>
  <si>
    <t>[Bổ sung 30/09/2026] Theo TC chuẩn sheet mẫu (Tab / Shift-Tab). SRS chưa mô tả - Cần BA confirm</t>
  </si>
  <si>
    <t>Kiểm tra nhấn Enter khi con trỏ đang ở button Xác nhận</t>
  </si>
  <si>
    <t>1. Click Phát hành
2. Tab tới button "Xác nhận"
3. Nhấn Enter</t>
  </si>
  <si>
    <t>3. Thực hiện phát hành như khi click Xác nhận: đóng popup, toast "Phát hành gói cước thành công"</t>
  </si>
  <si>
    <t>[Bổ sung 30/09/2026] SRS chưa mô tả - Cần BA confirm</t>
  </si>
  <si>
    <t>Kiểm tra giao diện popup khi thu nhỏ, phóng to</t>
  </si>
  <si>
    <t>1. Click Phát hành
2. Nhấn tổ hợp phím Ctrl -
3. Nhấn tổ hợp phím Ctrl +</t>
  </si>
  <si>
    <t>2, 3. Popup thu nhỏ, phóng to tương ứng, không bị vỡ giao diện, không mất button</t>
  </si>
  <si>
    <t>[Bổ sung 30/09/2026] Theo TC chuẩn sheet mẫu</t>
  </si>
  <si>
    <t>Kiểm tra click button Phát hành liên tục</t>
  </si>
  <si>
    <t>1. Click button Phát hành 2 lần liên tiếp thật nhanh</t>
  </si>
  <si>
    <t>1. Chỉ mở 1 popup, không mở chồng 2 popup</t>
  </si>
  <si>
    <t>[Bổ sung 30/09/2026] Kỹ thuật: Chống thao tác trùng</t>
  </si>
  <si>
    <t>Thanh tiêu đề màn Chi tiết</t>
  </si>
  <si>
    <t>Kiểm tra cụm button trên thanh tiêu đề khi gói ở trạng thái Nháp</t>
  </si>
  <si>
    <t>1. Kiểm tra cụm button góc phải thanh tiêu đề</t>
  </si>
  <si>
    <t>1. Hiển thị lần lượt từ trái qua phải:
+ "Phát hành" (nền đen)
+ "Nhân bản gói" (viền)
+ "Chỉnh sửa" (viền)
+ "Xóa" (nền đỏ)</t>
  </si>
  <si>
    <t>[Bổ sung 30/09/2026] Figma section Chi tiết gói cước - frame trạng thái Nháp. SRS UC xem chi tiết chỉ mô tả Chỉnh sửa, Xoá, Phát hành, không có "Nhân bản gói" - Cần BA confirm</t>
  </si>
  <si>
    <t>Luồng Bật/tắt trạng thái = Tự động</t>
  </si>
  <si>
    <t>TH1.1: Hiện tại &lt; Thời gian bắt đầu</t>
  </si>
  <si>
    <t>Kiểm tra popup khi thời gian hiện tại &lt; thời gian bắt đầu</t>
  </si>
  <si>
    <t>ĐK: Tự động, bắt đầu = hiện tại + 1 ngày, kết thúc = hiện tại + 30 ngày
1. Click Phát hành</t>
  </si>
  <si>
    <t>1. Hiển thị popup:
+ Icon cảnh báo (!)
+ Tiêu đề: "Phát hành gói cước?"
+ Icon X góc trên bên phải
+ Nội dung: "Gói cước của bạn sẽ chuyển trạng thái sang Đã phát hành, người mua có thể nhìn thấy gói cước khi đến thời gian bắt đầu. Bạn có chắc chắn muốn phát hành gói cước {Mã gói} không?"
+ Button "Sửa ngày bắt đầu", "Xác nhận"</t>
  </si>
  <si>
    <t>Mục QL gói cước - UC Ban hành gói cước Bước 2 TH1.1 - Kỹ thuật: Bảng quyết định</t>
  </si>
  <si>
    <t>Kiểm tra Xác nhận phát hành khi hiện tại &lt; thời gian bắt đầu</t>
  </si>
  <si>
    <t>ĐK: Như TC trên
1. Click Phát hành
2. Click Xác nhận</t>
  </si>
  <si>
    <t>2. 
- Đóng popup, hiển thị toast "Phát hành gói cước thành công"
- Ở lại màn chi tiết, trạng thái gói = "Đã phát hành"
- Ẩn button Phát hành</t>
  </si>
  <si>
    <t>Mục QL gói cước - UC Ban hành gói cước Bước 4 TH1.1 - Kỹ thuật: Sơ đồ chuyển trạng thái (Nháp → Đã phát hành)</t>
  </si>
  <si>
    <t>Kiểm tra gói Đã phát hành chưa hiển thị trên kênh bán</t>
  </si>
  <si>
    <t>ĐK: Gói vừa chuyển Đã phát hành
1. Mở giao diện mua gói trên kênh đã cấu hình (Web OA / Miniapp)</t>
  </si>
  <si>
    <t>1. Gói chưa hiển thị cho người mua</t>
  </si>
  <si>
    <t>Bảng Trạng thái gói cước STT 2</t>
  </si>
  <si>
    <t>Kiểm tra click "Sửa ngày bắt đầu"</t>
  </si>
  <si>
    <t>ĐK: Như TH1.1
1. Click Phát hành
2. Click "Sửa ngày bắt đầu"</t>
  </si>
  <si>
    <t>2. Điều hướng đến màn Chỉnh sửa gói cước; trạng thái gói vẫn là Nháp</t>
  </si>
  <si>
    <t>Mục QL gói cước - UC Ban hành gói cước Exception 3a - SRS chưa nêu có focus sẵn vào trường Thời gian bắt đầu không, Cần BA confirm</t>
  </si>
  <si>
    <t>Kiểm tra biên: thời gian bắt đầu = hiện tại + 1 phút</t>
  </si>
  <si>
    <t>ĐK: Tự động, bắt đầu = hiện tại + 1 phút
1. Click Phát hành
2. Click Xác nhận ngay</t>
  </si>
  <si>
    <t>2. Popup nội dung TH1.1, gói chuyển "Đã phát hành"</t>
  </si>
  <si>
    <t>Bắt đầu = hiện tại + 1 phút</t>
  </si>
  <si>
    <t>Mục QL gói cước - UC Ban hành gói cước TH1.1 - Kỹ thuật: Phân tích giá trị biên</t>
  </si>
  <si>
    <t>Chuyển trạng thái tự động (scheduler)</t>
  </si>
  <si>
    <t>Kiểm tra gói Đã phát hành tự chuyển Đang kinh doanh khi đến thời gian bắt đầu</t>
  </si>
  <si>
    <t>ĐK: Gói Đã phát hành, Tự động, bắt đầu = hiện tại + 2 phút
1. Chờ qua thời gian bắt đầu
2. Tải lại màn chi tiết và danh sách</t>
  </si>
  <si>
    <t>2. 
- Trạng thái gói = "Đang kinh doanh"
- Gói hiển thị trên giao diện mua của các kênh đã cấu hình</t>
  </si>
  <si>
    <t>Bảng Trạng thái gói cước STT 2, 3 - Kỹ thuật: Sơ đồ chuyển trạng thái. SRS chưa nêu chu kỳ quét của hệ thống, Cần BA confirm</t>
  </si>
  <si>
    <t>Kiểm tra gói Đang kinh doanh tự chuyển Ngừng kinh doanh khi đến thời gian kết thúc</t>
  </si>
  <si>
    <t>ĐK: Gói Đang kinh doanh, Tự động, kết thúc = hiện tại + 2 phút
1. Chờ qua thời gian kết thúc
2. Tải lại màn chi tiết</t>
  </si>
  <si>
    <t>2. 
- Trạng thái gói = "Ngừng kinh doanh"
- Gói không còn hiển thị để mua mới; thuê bao cũ vẫn giữ quyền lợi</t>
  </si>
  <si>
    <t>Bảng Trạng thái gói cước STT 4 - Kỹ thuật: Sơ đồ chuyển trạng thái</t>
  </si>
  <si>
    <t>Kiểm tra gói Nháp không tự đổi trạng thái khi qua thời gian bắt đầu</t>
  </si>
  <si>
    <t>ĐK: Tạo gói Tự động, bắt đầu = hiện tại + 2 phút, KHÔNG phát hành
1. Chờ qua thời gian bắt đầu
2. Tải lại màn Chi tiết gói và danh sách</t>
  </si>
  <si>
    <t>2. Gói vẫn ở trạng thái "Nháp", không hiển thị trên kênh bán; button Phát hành vẫn hiển thị</t>
  </si>
  <si>
    <t>[Bổ sung 30/09/2026] Bảng Trạng thái gói cước STT 3 ghi "Từ Nháp → Đã phát hành tự động chuyển sang KHI hệ thống quét" - chưa rõ hệ thống có quét gói Nháp không - Cần BA confirm</t>
  </si>
  <si>
    <t>Kiểm tra gói Đã phát hành khi cả thời gian bắt đầu và kết thúc đều đã qua ở lần quét</t>
  </si>
  <si>
    <t>ĐK: Gói Đã phát hành, bắt đầu = hiện tại + 2 phút, kết thúc = hiện tại + 3 phút; job quét bị dừng trong khoảng này
1. Bật lại job quét sau khi đã qua thời gian kết thúc
2. Tải lại màn Chi tiết gói</t>
  </si>
  <si>
    <t>2. Gói chuyển thẳng "Ngừng kinh doanh", không dừng ở "Đang kinh doanh"; không hiển thị trên kênh bán</t>
  </si>
  <si>
    <t>[Bổ sung 30/09/2026] Bảng Trạng thái gói cước STT 4 TH1.3 - Kỹ thuật: Sơ đồ chuyển trạng thái. Cần dev hỗ trợ dừng job quét - Cần BA confirm</t>
  </si>
  <si>
    <t>TH1.2: Hiện tại ≥ Thời gian bắt đầu</t>
  </si>
  <si>
    <t>Kiểm tra popup khi thời gian hiện tại ≥ thời gian bắt đầu</t>
  </si>
  <si>
    <t>ĐK: Tự động, bắt đầu = hiện tại - 1 ngày, kết thúc = hiện tại + 30 ngày
1. Click Phát hành</t>
  </si>
  <si>
    <t>1. Hiển thị popup:
+ Icon cảnh báo (!)
+ Tiêu đề: "Phát hành gói cước?"
+ Icon X góc trên bên phải
+ Nội dung: "Gói cước của bạn đã đến thời gian bắt đầu nên trạng thái sẽ chuyển sang Đang kinh doanh vì vậy người mua có thể nhìn thấy gói cước. Bạn có chắc chắn muốn phát hành gói cước {Mã gói} không?"
+ Button "Sửa ngày bắt đầu", "Xác nhận"</t>
  </si>
  <si>
    <t>Mục QL gói cước - UC Ban hành gói cước Bước 2 TH1.2 - Kỹ thuật: Bảng quyết định</t>
  </si>
  <si>
    <t>Kiểm tra Xác nhận phát hành khi hiện tại ≥ thời gian bắt đầu</t>
  </si>
  <si>
    <t>2. 
- Đóng popup, toast "Phát hành gói cước thành công"
- Trạng thái gói = "Đang kinh doanh"
- Ẩn button Phát hành</t>
  </si>
  <si>
    <t>Mục QL gói cước - UC Ban hành gói cước Bước 4 TH1.2 - Kỹ thuật: Sơ đồ chuyển trạng thái (Nháp → Đang kinh doanh)</t>
  </si>
  <si>
    <t>Kiểm tra gói Đang kinh doanh xuất hiện ngay trên kênh bán</t>
  </si>
  <si>
    <t>ĐK: Gói vừa phát hành sang Đang kinh doanh, kênh bán = Web OA
1. Mở giao diện mua gói trên Web OA
2. Mở giao diện mua gói trên Miniapp</t>
  </si>
  <si>
    <t>1. Gói hiển thị ngay trên Web OA
2. Không hiển thị trên Miniapp (không thuộc kênh cấu hình)</t>
  </si>
  <si>
    <t>Mục QL gói cước - UC Ban hành gói cước Post-condition 2 - Kỹ thuật: Phân vùng tương đương</t>
  </si>
  <si>
    <t>Kiểm tra biên: thời gian bắt đầu = đúng thời điểm hiện tại</t>
  </si>
  <si>
    <t>ĐK: Tự động, thời gian bắt đầu trùng thời điểm click Phát hành
1. Click Phát hành</t>
  </si>
  <si>
    <t>1. Popup nội dung TH1.2 (hiện tại ≥ bắt đầu), xác nhận thì gói chuyển "Đang kinh doanh"</t>
  </si>
  <si>
    <t>Mục QL gói cước - UC Ban hành gói cước TH1.2 - Kỹ thuật: Phân tích giá trị biên</t>
  </si>
  <si>
    <t>Kiểm tra click "Sửa ngày bắt đầu" tại popup TH1.2</t>
  </si>
  <si>
    <t>ĐK: Như TH1.2
1. Click Phát hành
2. Click "Sửa ngày bắt đầu"</t>
  </si>
  <si>
    <t>2. Điều hướng đến màn Chỉnh sửa gói cước; trạng thái vẫn Nháp</t>
  </si>
  <si>
    <t>Mục QL gói cước - UC Ban hành gói cước Exception 3a</t>
  </si>
  <si>
    <t>Kiểm tra phát hành lại sau khi sửa ngày bắt đầu từ popup TH1.2</t>
  </si>
  <si>
    <t>ĐK: Tự động, hiện tại ≥ thời gian bắt đầu, hiện tại &lt; thời gian kết thúc
1. Click Phát hành (popup TH1.2)
2. Click "Sửa ngày bắt đầu"
3. Sửa Thời gian bắt đầu = hiện tại + 1 ngày &gt; Lưu
4. Quay lại Chi tiết gói &gt; click Phát hành
5. Click Xác nhận</t>
  </si>
  <si>
    <t>2. Điều hướng đến màn Chỉnh sửa gói cước
3. Lưu thành công, gói vẫn ở trạng thái Nháp
4. Hiển thị popup nội dung TH1.1 (Đã phát hành), button "Sửa ngày bắt đầu"
5. Gói chuyển "Đã phát hành", toast "Phát hành gói cước thành công"</t>
  </si>
  <si>
    <t>Bắt đầu mới = hiện tại + 1 ngày</t>
  </si>
  <si>
    <t>[Bổ sung 30/09/2026] UC Ban hành gói cước Exception 3a + Bước 2 TH1.1 - Kỹ thuật: Sơ đồ chuyển trạng thái. SRS UC Chỉnh sửa gói cước đang trống - Cần BA confirm</t>
  </si>
  <si>
    <t>Kiểm tra TH1.2 với gói tạo qua giao diện rồi chờ qua thời gian bắt đầu</t>
  </si>
  <si>
    <t>ĐK: Tạo gói Tự động, bắt đầu = hiện tại + 2 phút, kết thúc = hiện tại + 30 ngày, KHÔNG phát hành
1. Chờ qua thời gian bắt đầu
2. Mở Chi tiết gói &gt; click Phát hành
3. Click Xác nhận</t>
  </si>
  <si>
    <t>2. Hiển thị popup nội dung TH1.2
3. Gói chuyển "Đang kinh doanh"</t>
  </si>
  <si>
    <t>Bắt đầu = hiện tại + 2 phút</t>
  </si>
  <si>
    <t>[Bổ sung 30/09/2026] UC2 STT 11 bắt buộc Thời gian bắt đầu &gt; hiện tại nên không tạo trực tiếp được gói có bắt đầu ở quá khứ (bộ TC cũ dùng "hiện tại - 1 ngày" phải sửa DB) - Kỹ thuật: Phân tích giá trị biên</t>
  </si>
  <si>
    <t>TH1.3: Hiện tại ≥ Thời gian kết thúc</t>
  </si>
  <si>
    <t>Kiểm tra popup khi thời gian hiện tại ≥ thời gian kết thúc</t>
  </si>
  <si>
    <t>ĐK: Tự động, bắt đầu = hiện tại - 30 ngày, kết thúc = hiện tại - 1 ngày
1. Click Phát hành</t>
  </si>
  <si>
    <t>1. Hiển thị popup:
+ Icon cảnh báo (!)
+ Tiêu đề: "Phát hành gói cước?"
+ Icon X góc trên bên phải
+ Nội dung: "Gói cước của bạn đã đến thời gian kết thúc nên trạng thái sẽ chuyển sang Ngừng kinh doanh vì vậy người mua sẽ không nhìn thấy gói cước. Bạn có chắc chắn muốn phát hành gói cước {Mã gói} không?"
+ Button "Sửa ngày kết thúc", "Xác nhận"</t>
  </si>
  <si>
    <t>Mục QL gói cước - UC Ban hành gói cước Bước 2 TH1.3 - Kỹ thuật: Bảng quyết định. Điều kiện TH1.2 (≥ bắt đầu) và TH1.3 (≥ kết thúc) chồng lấn - SRS chưa nêu TH1.3 được ưu tiên, Cần BA confirm</t>
  </si>
  <si>
    <t>Kiểm tra Xác nhận phát hành khi hiện tại ≥ thời gian kết thúc</t>
  </si>
  <si>
    <t>2. 
- Đóng popup, toast "Phát hành gói cước thành công"
- Trạng thái gói = "Ngừng kinh doanh"
- Gói không hiển thị trên kênh bán</t>
  </si>
  <si>
    <t>Mục QL gói cước - UC Ban hành gói cước Bước 4 TH1.3 - Kỹ thuật: Sơ đồ chuyển trạng thái (Nháp → Ngừng kinh doanh). Bảng trạng thái chỉ ghi Ngừng KD chuyển từ Đang KD/Đã phát hành, thiếu Nháp - Cần BA confirm</t>
  </si>
  <si>
    <t>Kiểm tra click "Sửa ngày kết thúc"</t>
  </si>
  <si>
    <t>ĐK: Như TH1.3
1. Click Phát hành
2. Click "Sửa ngày kết thúc"</t>
  </si>
  <si>
    <t>Kiểm tra phát hành lại sau khi gia hạn ngày kết thúc từ popup TH1.3</t>
  </si>
  <si>
    <t>ĐK: Tự động, hiện tại ≥ thời gian kết thúc
1. Click Phát hành (popup TH1.3)
2. Click "Sửa ngày kết thúc"
3. Sửa Thời gian kết thúc = hiện tại + 30 ngày &gt; Lưu
4. Quay lại Chi tiết gói &gt; click Phát hành
5. Click Xác nhận</t>
  </si>
  <si>
    <t>3. Lưu thành công, gói vẫn Nháp
4. Hiển thị popup nội dung TH1.2 (Đang kinh doanh)
5. Gói chuyển "Đang kinh doanh"</t>
  </si>
  <si>
    <t>Kết thúc mới = hiện tại + 30 ngày</t>
  </si>
  <si>
    <t>[Bổ sung 30/09/2026] UC Ban hành gói cước Exception 3a. Rủi ro: Thời gian bắt đầu đã ở quá khứ, nếu màn Chỉnh sửa áp rule "Thời gian bắt đầu &gt; hiện tại" (UC2 STT 11) thì không lưu được - Cần BA confirm</t>
  </si>
  <si>
    <t>Kiểm tra biên: thời gian kết thúc = đúng thời điểm hiện tại</t>
  </si>
  <si>
    <t>ĐK: Tự động, thời gian kết thúc trùng thời điểm click Phát hành
1. Click Phát hành</t>
  </si>
  <si>
    <t>1. Popup nội dung TH1.3, xác nhận thì gói chuyển "Ngừng kinh doanh"</t>
  </si>
  <si>
    <t>Mục QL gói cước - UC Ban hành gói cước TH1.3 - Kỹ thuật: Phân tích giá trị biên</t>
  </si>
  <si>
    <t>Kiểm tra biên: thời gian kết thúc = hiện tại + 1 phút</t>
  </si>
  <si>
    <t>ĐK: Tự động, bắt đầu đã qua, kết thúc = hiện tại + 1 phút
1. Click Phát hành</t>
  </si>
  <si>
    <t>1. Popup nội dung TH1.2 (chưa đến thời gian kết thúc), xác nhận thì gói chuyển "Đang kinh doanh"</t>
  </si>
  <si>
    <t>Mục QL gói cước - UC Ban hành gói cước TH1.2/TH1.3 - Kỹ thuật: Phân tích giá trị biên</t>
  </si>
  <si>
    <t>Kiểm tra TH1.3 với gói tạo qua giao diện rồi chờ qua thời gian kết thúc</t>
  </si>
  <si>
    <t>ĐK: Tạo gói Tự động, bắt đầu = hiện tại + 2 phút, kết thúc = hiện tại + 4 phút, KHÔNG phát hành
1. Chờ qua thời gian kết thúc
2. Mở Chi tiết gói &gt; click Phát hành
3. Click Xác nhận</t>
  </si>
  <si>
    <t>2. Hiển thị popup nội dung TH1.3 (không phải TH1.2 dù hiện tại cũng ≥ thời gian bắt đầu)
3. Gói chuyển "Ngừng kinh doanh"</t>
  </si>
  <si>
    <t>Bắt đầu = hiện tại + 2 phút, kết thúc = hiện tại + 4 phút</t>
  </si>
  <si>
    <t>[Bổ sung 30/09/2026] UC Ban hành gói cước TH1.2/TH1.3 chồng điều kiện - Kỹ thuật: Bảng quyết định. SRS chưa nêu thứ tự ưu tiên - Cần BA confirm</t>
  </si>
  <si>
    <t>Mốc thời gian đổi khi popup đang mở</t>
  </si>
  <si>
    <t>Kiểm tra trạng thái khi đến thời gian bắt đầu trong lúc popup TH1.1 đang mở</t>
  </si>
  <si>
    <t>ĐK: Tự động, bắt đầu = hiện tại + 1 phút
1. Click Phát hành (popup TH1.1)
2. Chờ qua thời gian bắt đầu
3. Click Xác nhận</t>
  </si>
  <si>
    <t>3. Gói chuyển trạng thái theo thời điểm xác nhận (Đang kinh doanh), không kẹt ở Đã phát hành</t>
  </si>
  <si>
    <t>Mục QL gói cước - UC Ban hành gói cước - SRS chưa nêu so thời gian tại lúc mở popup hay lúc xác nhận - Cần BA confirm</t>
  </si>
  <si>
    <t>Múi giờ</t>
  </si>
  <si>
    <t>Kiểm tra so sánh thời gian theo giờ server khi giờ máy admin bị lệch</t>
  </si>
  <si>
    <t>ĐK: Tự động, bắt đầu = hiện tại (giờ server) + 1 ngày; chỉnh giờ máy admin nhanh hơn 2 ngày
1. Click Phát hành
2. Click Xác nhận</t>
  </si>
  <si>
    <t>1. Hiển thị popup nội dung TH1.1 (theo giờ server), không phải TH1.2
2. Gói chuyển "Đã phát hành"</t>
  </si>
  <si>
    <t>Giờ máy admin = giờ server + 2 ngày</t>
  </si>
  <si>
    <t>[Bổ sung 30/09/2026] SRS chưa nêu mốc so sánh lấy giờ server hay giờ client - Cần BA confirm - Kỹ thuật: Phân vùng tương đương</t>
  </si>
  <si>
    <t>Luồng Bật/tắt trạng thái = Thủ công</t>
  </si>
  <si>
    <t>Th2.1: Trạng thái KD = Đang kinh doanh</t>
  </si>
  <si>
    <t>Kiểm tra popup khi trạng thái kinh doanh = Đang kinh doanh</t>
  </si>
  <si>
    <t>ĐK: Thủ công, Trạng thái kinh doanh = Đang kinh doanh
1. Click Phát hành</t>
  </si>
  <si>
    <t>1. Hiển thị popup:
+ Icon cảnh báo (!)
+ Tiêu đề: "Phát hành gói cước?"
+ Icon X góc trên bên phải
+ Nội dung: "Trạng thái kinh doanh của gói cước là Đang kinh doanh vì vậy người mua có thể nhìn thấy. Bạn có chắc chắn muốn phát hành gói cước {Mã gói} không?"
+ Button "Sửa trạng thái kinh doanh", "Xác nhận"</t>
  </si>
  <si>
    <t>Mục QL gói cước - UC Ban hành gói cước Bước 2 Th2.1 - Kỹ thuật: Bảng quyết định</t>
  </si>
  <si>
    <t>Kiểm tra Xác nhận phát hành khi trạng thái KD = Đang kinh doanh</t>
  </si>
  <si>
    <t>2. 
- Đóng popup, toast "Phát hành gói cước thành công"
- Trạng thái gói = "Đang kinh doanh"
- Gói hiển thị ngay trên kênh bán đã cấu hình</t>
  </si>
  <si>
    <t>Mục QL gói cước - UC Ban hành gói cước Bước 4 Th2.1 - Kỹ thuật: Sơ đồ chuyển trạng thái (Nháp → Đang kinh doanh)</t>
  </si>
  <si>
    <t>Kiểm tra click "Sửa trạng thái kinh doanh" (Th2.1)</t>
  </si>
  <si>
    <t>ĐK: Như Th2.1
1. Click Phát hành
2. Click "Sửa trạng thái kinh doanh"</t>
  </si>
  <si>
    <t>Kiểm tra đổi cơ chế Thủ công sang Tự động từ popup rồi phát hành lại</t>
  </si>
  <si>
    <t>ĐK: Thủ công, Trạng thái kinh doanh = Đang kinh doanh
1. Click Phát hành (popup Th2.1)
2. Click "Sửa trạng thái kinh doanh"
3. Đổi Bật/tắt trạng thái = Tự động, bắt đầu = hiện tại + 1 ngày, kết thúc = hiện tại + 30 ngày &gt; Lưu
4. Quay lại Chi tiết gói &gt; click Phát hành</t>
  </si>
  <si>
    <t>4. Hiển thị popup nội dung TH1.1 (theo nhánh Tự động), button "Sửa ngày bắt đầu"</t>
  </si>
  <si>
    <t>[Bổ sung 30/09/2026] UC Ban hành gói cước Bước 2 Th1/Th2 - Kỹ thuật: Bảng quyết định</t>
  </si>
  <si>
    <t>Th2.2: Trạng thái KD = Ngừng kinh doanh</t>
  </si>
  <si>
    <t>Kiểm tra popup khi trạng thái kinh doanh = Ngừng kinh doanh</t>
  </si>
  <si>
    <t>ĐK: Thủ công, Trạng thái kinh doanh = Ngừng kinh doanh
1. Click Phát hành</t>
  </si>
  <si>
    <t>1. Hiển thị popup:
+ Icon cảnh báo (!)
+ Tiêu đề: "Phát hành gói cước?"
+ Icon X góc trên bên phải
+ Nội dung: "Trạng thái kinh doanh gói cước là Ngừng kinh doanh vì vậy người mua sẽ không nhìn thấy. Bạn có chắc chắn muốn phát hành gói cước {Mã gói} không?"
+ Button "Sửa trạng thái kinh doanh", "Xác nhận"</t>
  </si>
  <si>
    <t>Mục QL gói cước - UC Ban hành gói cước Bước 2 Th2.2 - Kỹ thuật: Bảng quyết định</t>
  </si>
  <si>
    <t>Kiểm tra Xác nhận phát hành khi trạng thái KD = Ngừng kinh doanh</t>
  </si>
  <si>
    <t>Mục QL gói cước - UC Ban hành gói cước Bước 4 Th2.2 - Kỹ thuật: Sơ đồ chuyển trạng thái (Nháp → Ngừng kinh doanh)</t>
  </si>
  <si>
    <t>Kiểm tra click "Sửa trạng thái kinh doanh" (Th2.2)</t>
  </si>
  <si>
    <t>ĐK: Như Th2.2
1. Click Phát hành
2. Click "Sửa trạng thái kinh doanh"</t>
  </si>
  <si>
    <t>Kiểm tra phát hành lại sau khi đổi trạng thái kinh doanh từ popup Th2.2</t>
  </si>
  <si>
    <t>ĐK: Thủ công, Trạng thái kinh doanh = Ngừng kinh doanh
1. Click Phát hành (popup Th2.2)
2. Click "Sửa trạng thái kinh doanh"
3. Đổi Trạng thái kinh doanh = Đang kinh doanh &gt; Lưu
4. Quay lại Chi tiết gói &gt; click Phát hành
5. Click Xác nhận</t>
  </si>
  <si>
    <t>4. Hiển thị popup nội dung Th2.1, button "Sửa trạng thái kinh doanh"
5. Gói chuyển "Đang kinh doanh", hiển thị trên kênh bán đã cấu hình</t>
  </si>
  <si>
    <t>[Bổ sung 30/09/2026] UC Ban hành gói cước Exception 3a + Bước 2 Th2.1 - Kỹ thuật: Sơ đồ chuyển trạng thái</t>
  </si>
  <si>
    <t>Thủ công không phụ thuộc thời gian</t>
  </si>
  <si>
    <t>Kiểm tra phát hành Thủ công không xét thời gian</t>
  </si>
  <si>
    <t>ĐK: Thủ công, Trạng thái KD = Đang kinh doanh (gói không có thời gian bắt đầu/kết thúc)
1. Click Phát hành
2. Xác nhận</t>
  </si>
  <si>
    <t>2. Chỉ căn cứ Trạng thái kinh doanh: gói chuyển "Đang kinh doanh", không hiển thị popup theo thời gian</t>
  </si>
  <si>
    <t>Mục QL gói cước - UC Ban hành gói cước Bước 2 Th2 - Kỹ thuật: Phân vùng tương đương</t>
  </si>
  <si>
    <t>Huỷ / đóng popup</t>
  </si>
  <si>
    <t>Icon X</t>
  </si>
  <si>
    <t>Kiểm tra click icon X trên popup</t>
  </si>
  <si>
    <t>1. Click Phát hành
2. Click icon X</t>
  </si>
  <si>
    <t>2. 
- Đóng popup, ở lại màn chi tiết
- Trạng thái gói giữ nguyên "Nháp", không lưu thay đổi
- Button Phát hành vẫn hiển thị</t>
  </si>
  <si>
    <t>Mục QL gói cước - UC Ban hành gói cước Exception 3b, AF_01 - Kỹ thuật: Sơ đồ chuyển trạng thái</t>
  </si>
  <si>
    <t>Kiểm tra icon X ở cả 5 biến thể popup</t>
  </si>
  <si>
    <t>ĐK: Lần lượt tạo gói theo TH1.1, TH1.2, TH1.3, Th2.1, Th2.2
1. Click Phát hành
2. Click icon X</t>
  </si>
  <si>
    <t>2. Cả 5 trường hợp đều đóng popup, gói giữ trạng thái Nháp</t>
  </si>
  <si>
    <t>Mục QL gói cước - UC Ban hành gói cước AF_01 - Kỹ thuật: Bảng quyết định</t>
  </si>
  <si>
    <t>Button Hủy</t>
  </si>
  <si>
    <t>Kiểm tra button Hủy trên popup</t>
  </si>
  <si>
    <t>1. Click Phát hành
2. Click Hủy</t>
  </si>
  <si>
    <t>2. Đóng popup, gói giữ trạng thái Nháp</t>
  </si>
  <si>
    <t>Mục QL gói cước - UC Ban hành gói cước STT 4, AF_01 - Design không có nút Hủy (thay bằng nút "Sửa ngày..."), nếu design đúng thì TC này N/A - Cần BA confirm</t>
  </si>
  <si>
    <t>Phím Esc</t>
  </si>
  <si>
    <t>Kiểm tra nhấn phím Esc khi popup đang mở</t>
  </si>
  <si>
    <t>1. Click Phát hành
2. Nhấn Esc</t>
  </si>
  <si>
    <t>SRS chưa mô tả - Cần BA confirm</t>
  </si>
  <si>
    <t>Kiểm tra mở lại popup sau khi huỷ</t>
  </si>
  <si>
    <t>1. Click Phát hành
2. Click X
3. Click Phát hành lần nữa</t>
  </si>
  <si>
    <t>3. Popup hiển thị lại đúng nội dung theo trường hợp của gói</t>
  </si>
  <si>
    <t>Mục QL gói cước - UC Ban hành gói cước AF_01</t>
  </si>
  <si>
    <t>Thoát màn Chỉnh sửa không lưu</t>
  </si>
  <si>
    <t>Kiểm tra quay lại từ màn Chỉnh sửa (mở từ popup) mà không lưu</t>
  </si>
  <si>
    <t>1. Click Phát hành
2. Click button phụ "Sửa ..." trên popup
3. Tại màn Chỉnh sửa, thay đổi 1 trường rồi click Back, xác nhận thoát</t>
  </si>
  <si>
    <t>3. 
- Quay lại màn Chi tiết gói
- Dữ liệu gói không đổi, trạng thái vẫn "Nháp"
- Button Phát hành vẫn hiển thị</t>
  </si>
  <si>
    <t>[Bổ sung 30/09/2026] UC Ban hành gói cước Exception 3a - SRS UC Chỉnh sửa trống, popup xác nhận thoát theo UC2 AF 01 - Cần BA confirm</t>
  </si>
  <si>
    <t>Tải lại trang</t>
  </si>
  <si>
    <t>Kiểm tra nhấn F5 khi popup phát hành đang mở</t>
  </si>
  <si>
    <t>1. Click Phát hành
2. Nhấn F5</t>
  </si>
  <si>
    <t>2. Trang tải lại, popup đóng, gói giữ "Nháp", button Phát hành vẫn hiển thị</t>
  </si>
  <si>
    <t>[Bổ sung 30/09/2026] UC Ban hành gói cước AF_01 - Kỹ thuật: Sơ đồ chuyển trạng thái (giữ nguyên)</t>
  </si>
  <si>
    <t>Back trình duyệt</t>
  </si>
  <si>
    <t>Kiểm tra nhấn Back của trình duyệt khi popup phát hành đang mở</t>
  </si>
  <si>
    <t>1. Click Phát hành
2. Nhấn nút Back của trình duyệt</t>
  </si>
  <si>
    <t>2. Popup đóng, quay về màn Quản lý gói cước; gói giữ "Nháp"</t>
  </si>
  <si>
    <t>[Bổ sung 30/09/2026] UC xem chi tiết AF_01 - SRS chưa mô tả khi popup đang mở - Cần BA confirm</t>
  </si>
  <si>
    <t>Kiểm tra chức năng</t>
  </si>
  <si>
    <t>Lưu dữ liệu</t>
  </si>
  <si>
    <t>Kiểm tra dữ liệu lưu sau khi phát hành</t>
  </si>
  <si>
    <t>1. Phát hành thành công 1 gói
2. Kiểm tra bản ghi plan trong DB</t>
  </si>
  <si>
    <t>2. 
- status = trạng thái mới đúng rule
- updated_by = Admin phát hành
- updated_at = thời điểm xác nhận
- Các trường khác không đổi</t>
  </si>
  <si>
    <t>Kiểm tra danh sách cập nhật sau khi phát hành</t>
  </si>
  <si>
    <t>1. Phát hành thành công 1 gói
2. Quay lại màn Quản lý gói cước</t>
  </si>
  <si>
    <t>2. Cột Trạng thái, Thời gian cập nhật, Người cập nhật của gói hiển thị giá trị mới</t>
  </si>
  <si>
    <t>Mục QL gói cước - UC Ban hành gói cước Post-condition 1</t>
  </si>
  <si>
    <t>Kiểm tra lưu vết audit khi phát hành</t>
  </si>
  <si>
    <t>1. Phát hành 1 gói
2. Kiểm tra log kiểm toán</t>
  </si>
  <si>
    <t>2. Ghi log: người thao tác, thời gian, IP, trạng thái cũ (Nháp) → mới</t>
  </si>
  <si>
    <t>NFR 3.3</t>
  </si>
  <si>
    <t>Kiểm tra gói Đang kinh doanh có kênh bán = Web OA và Miniapp</t>
  </si>
  <si>
    <t>ĐK: Gói Thủ công, Đang kinh doanh, Kênh phân phối = Web OA + Miniapp gói cước Tammi
1. Phát hành &gt; Xác nhận
2. Mở tab Gói cước trên Web OA
3. Mở Miniapp gói cước Tammi</t>
  </si>
  <si>
    <t>2. Gói hiển thị trên Web OA
3. Loại gói của gói hiển thị trên Miniapp</t>
  </si>
  <si>
    <t>[Bổ sung 30/09/2026] UC Ban hành gói cước Post-condition 2 - Kỹ thuật: Phân vùng tương đương (kênh bán)</t>
  </si>
  <si>
    <t>Kiểm tra gói Đang kinh doanh chỉ có kênh bán = Miniapp</t>
  </si>
  <si>
    <t>ĐK: Gói Thủ công, Đang kinh doanh, Kênh phân phối = Miniapp gói cước Tammi
1. Phát hành &gt; Xác nhận
2. Mở tab Gói cước trên Web OA
3. Mở Miniapp gói cước Tammi</t>
  </si>
  <si>
    <t>2. Gói không hiển thị trên Web OA
3. Loại gói của gói hiển thị trên Miniapp</t>
  </si>
  <si>
    <t>Kiểm tra gói chính sau phát hành hiển thị tại khối chọn gói chính trên Web OA</t>
  </si>
  <si>
    <t>ĐK: Gói Loại hình = Gói chính, loại dịch vụ = OA, kênh = Web OA, Thủ công, Đang kinh doanh; loại gói Đang hoạt động, áp dụng đúng loại hình/danh mục của OA test
1. Phát hành &gt; Xác nhận
2. Mở tab Gói cước trên Web OA</t>
  </si>
  <si>
    <t>2. Gói hiển thị tại khối "Bước 1 - Chọn gói OA chính", chu kỳ của gói có trong nhóm button Chu kỳ thanh toán</t>
  </si>
  <si>
    <t>[Bổ sung 30/09/2026] Tab Luồng mua gói cước trên web OA - UC Hiển thị gói chính BR2 - Kỹ thuật: Phân vùng tương đương (loại hình gói)</t>
  </si>
  <si>
    <t>Kiểm tra gói add-on sau phát hành hiển thị tại khối Add-on trên Web OA</t>
  </si>
  <si>
    <t>ĐK: Gói Loại hình = Gói add-on, kênh = Web OA, Thủ công, Đang kinh doanh; loại gói Đang hoạt động
1. Phát hành &gt; Xác nhận
2. Mở tab Gói cước trên Web OA</t>
  </si>
  <si>
    <t>2. Gói hiển thị tại khối "Bước 2 - Thêm gói Add-on" trong hàng loại gói tương ứng, không hiển thị ở khối gói chính</t>
  </si>
  <si>
    <t>[Bổ sung 30/09/2026] Tab Luồng mua gói cước trên web OA - UC Hiển thị gói add-on BR2 - Kỹ thuật: Phân vùng tương đương (loại hình gói)</t>
  </si>
  <si>
    <t>Kiểm tra gói nền sau phát hành không hiển thị trong giao diện mua</t>
  </si>
  <si>
    <t>ĐK: Gói Loại hình = Gói nền, kênh = Web OA, Thủ công, Đang kinh doanh
1. Phát hành &gt; Xác nhận
2. Mở tab Gói cước trên Web OA</t>
  </si>
  <si>
    <t>1. Phát hành thành công, gói chuyển "Đang kinh doanh"
2. Gói không hiển thị ở khối gói chính lẫn khối Add-on</t>
  </si>
  <si>
    <t>[Bổ sung 30/09/2026] UC2 dữ liệu cần lưu - plan_role "Nền: mặc định kích hoạt khi khởi tạo tk OA"; BR2 web OA chỉ lấy gói Chính/Add-on. SRS chưa nêu gói nền có cần phát hành / hiển thị ở đâu - Cần BA confirm</t>
  </si>
  <si>
    <t>Điều kiện loại gói</t>
  </si>
  <si>
    <t>Kiểm tra gói Đang kinh doanh không hiển thị cho OA không thuộc loại hình áp dụng</t>
  </si>
  <si>
    <t>ĐK: Loại gói chỉ áp dụng Loại hình OA = "Doanh nghiệp"; OA test thuộc loại hình khác
1. Phát hành gói (Đang kinh doanh)
2. Đăng nhập Web OA bằng OA test &gt; mở tab Gói cước</t>
  </si>
  <si>
    <t>2. Gói không hiển thị với OA này dù đã Đang kinh doanh</t>
  </si>
  <si>
    <t>[Bổ sung 30/09/2026] Tab Luồng mua gói cước trên web OA - UC Hiển thị gói chính BR2 (điều kiện theo loại gói) - Kỹ thuật: Phân vùng tương đương</t>
  </si>
  <si>
    <t>Chống thao tác trùng</t>
  </si>
  <si>
    <t>Kiểm tra click Xác nhận liên tục</t>
  </si>
  <si>
    <t>1. Click Phát hành
2. Click Xác nhận liên tục nhiều lần</t>
  </si>
  <si>
    <t>2. Chỉ gửi 1 yêu cầu, gói chuyển trạng thái 1 lần, chỉ 1 toast thành công</t>
  </si>
  <si>
    <t>NFR 1.3</t>
  </si>
  <si>
    <t>Kiểm tra trạng thái button Xác nhận khi API phát hành phản hồi chậm</t>
  </si>
  <si>
    <t>ĐK: Giả lập API phát hành phản hồi sau 5 giây
1. Click Phát hành &gt; Xác nhận
2. Click lại Xác nhận trong lúc chờ</t>
  </si>
  <si>
    <t>1. Button Xác nhận hiển thị trạng thái đang xử lý / disable
2. Không gửi thêm yêu cầu; sau khi có phản hồi chỉ hiển thị 1 toast</t>
  </si>
  <si>
    <t>Độ trễ API: 5 giây</t>
  </si>
  <si>
    <t>[Bổ sung 30/09/2026] NFR 1.1, 1.3 - SRS chưa mô tả trạng thái loading - Cần BA confirm</t>
  </si>
  <si>
    <t>Toast thông báo</t>
  </si>
  <si>
    <t>Kiểm tra toast thành công</t>
  </si>
  <si>
    <t>1. Phát hành thành công
2. Kiểm tra toast</t>
  </si>
  <si>
    <t>2. Hiển thị toast "Phát hành gói cước thành công", tự ẩn sau vài giây</t>
  </si>
  <si>
    <t>Mục QL gói cước - UC Ban hành gói cước Bước 4.3</t>
  </si>
  <si>
    <t>Trạng thái gói trên thanh tiêu đề</t>
  </si>
  <si>
    <t>Kiểm tra nhãn trạng thái cập nhật ngay sau khi phát hành</t>
  </si>
  <si>
    <t>1. Kiểm tra nhãn trạng thái cạnh tiêu đề "Chi tiết gói cước"
2. Click Phát hành &gt; Xác nhận
3. Kiểm tra lại nhãn trạng thái (không tải lại trang)</t>
  </si>
  <si>
    <t>1. Hiển thị nhãn "Nháp" dạng chấm tròn + text theo design
3. Nhãn đổi ngay sang trạng thái mới (VD "Đã phát hành") với màu theo design, không cần tải lại trang</t>
  </si>
  <si>
    <t>[Bổ sung 30/09/2026] Figma frame Nháp / Đã phát hành / Đang kinh doanh - UC Ban hành gói cước Post-condition 1</t>
  </si>
  <si>
    <t>Chuyển trạng thái không hợp lệ</t>
  </si>
  <si>
    <t>Kiểm tra không thể phát hành lại gói đã phát hành</t>
  </si>
  <si>
    <t>ĐK: Gói ở trạng thái Đã phát hành / Đang kinh doanh / Ngừng kinh doanh
1. Mở chi tiết gói
2. Gọi API phát hành trực tiếp với plan_id của gói</t>
  </si>
  <si>
    <t>1. Không hiển thị button Phát hành
2. API trả lỗi, trạng thái gói không đổi</t>
  </si>
  <si>
    <t>Mục QL gói cước - UC Ban hành gói cước BR_01 - Kỹ thuật: Sơ đồ chuyển trạng thái (chuyển không hợp lệ)</t>
  </si>
  <si>
    <t>Kiểm tra phát hành gói đã bị xoá</t>
  </si>
  <si>
    <t>ĐK: Admin A đang mở chi tiết gói Nháp; Admin B xoá gói
1. Admin A click Phát hành &gt; Xác nhận</t>
  </si>
  <si>
    <t>1. Không cho phép phát hành, hiển thị thông báo lỗi; gói giữ Đã xoá</t>
  </si>
  <si>
    <t>Kỹ thuật: Sơ đồ chuyển trạng thái (tranh chấp) - SRS chưa mô tả, Cần BA confirm</t>
  </si>
  <si>
    <t>Tranh chấp</t>
  </si>
  <si>
    <t>Kiểm tra 2 admin cùng phát hành 1 gói</t>
  </si>
  <si>
    <t>ĐK: Admin A và B cùng mở chi tiết 1 gói Nháp
1. A click Phát hành &gt; Xác nhận
2. B click Phát hành &gt; Xác nhận</t>
  </si>
  <si>
    <t>1. A phát hành thành công, toast "Phát hành gói cước thành công"
2. B nhận thông báo lỗi, không phát sinh chuyển trạng thái lần 2</t>
  </si>
  <si>
    <t>Kỹ thuật: Sơ đồ chuyển trạng thái (tranh chấp) - Cần BA confirm</t>
  </si>
  <si>
    <t>Kiểm tra phát hành khi dữ liệu gói vừa bị admin khác sửa</t>
  </si>
  <si>
    <t>ĐK: A mở chi tiết gói (Thủ công, Đang KD); B sửa gói thành Thủ công, Ngừng KD
1. A click Phát hành &gt; Xác nhận</t>
  </si>
  <si>
    <t>1. Hệ thống xử lý theo dữ liệu mới nhất trong DB (gói chuyển Ngừng kinh doanh) hoặc yêu cầu A tải lại trang</t>
  </si>
  <si>
    <t>Dữ liệu chưa hợp lệ</t>
  </si>
  <si>
    <t>Kiểm tra phát hành gói thiếu tham số tính năng</t>
  </si>
  <si>
    <t>ĐK: Loại gói vừa được thêm tính năng mới sau khi gói Nháp đã tạo (gói thiếu tham số tính năng đó)
1. Click Phát hành &gt; Xác nhận</t>
  </si>
  <si>
    <t>1. Chặn phát hành, báo gói chưa cấu hình đủ tham số</t>
  </si>
  <si>
    <t>Mục QL gói cước - UC Ban hành gói cước Pre-condition 3 - SRS chưa nêu validate khi phát hành, Cần BA confirm</t>
  </si>
  <si>
    <t>Kiểm tra Xác nhận khi mất mạng</t>
  </si>
  <si>
    <t>1. Click Phát hành
2. Ngắt mạng
3. Click Xác nhận</t>
  </si>
  <si>
    <t>3. 
- Hiển thị toast "Thất bại. Vui lòng kiểm tra lại kết nối."
- Gói giữ Nháp, cho phép click lại</t>
  </si>
  <si>
    <t>Mục QL gói cước - UC Ban hành gói cước Exception 4a</t>
  </si>
  <si>
    <t>Kiểm tra phát hành lại sau khi có mạng</t>
  </si>
  <si>
    <t>ĐK: Vừa gặp lỗi mạng
1. Bật mạng
2. Click lại Phát hành &gt; Xác nhận</t>
  </si>
  <si>
    <t>2. Phát hành thành công, toast "Phát hành gói cước thành công"</t>
  </si>
  <si>
    <t>Kiểm tra Xác nhận khi API lỗi hệ thống</t>
  </si>
  <si>
    <t>ĐK: API phát hành trả lỗi 500
1. Click Phát hành &gt; Xác nhận</t>
  </si>
  <si>
    <t>1. 
- Hiển thị toast "Hệ thống bận. Vui lòng thử lại sau." kèm mã lỗi
- Gói giữ Nháp, cho phép click lại</t>
  </si>
  <si>
    <t>Mục QL gói cước - UC Ban hành gói cước Exception 4b</t>
  </si>
  <si>
    <t>Phiên đăng nhập</t>
  </si>
  <si>
    <t>Kiểm tra click Xác nhận khi phiên đăng nhập đã hết hạn</t>
  </si>
  <si>
    <t>ĐK: Mở popup phát hành, để phiên đăng nhập hết hạn (hoặc đăng xuất ở tab khác)
1. Click Xác nhận</t>
  </si>
  <si>
    <t>1. 
- Không phát hành, gói giữ "Nháp"
- Điều hướng về màn đăng nhập (hoặc thông báo hết phiên)</t>
  </si>
  <si>
    <t>[Bổ sung 30/09/2026] NFR 3.1 - SRS chưa mô tả - Cần BA confirm</t>
  </si>
  <si>
    <t>Kiểm tra admin không có quyền phát hành</t>
  </si>
  <si>
    <t>ĐK: Tài khoản chỉ có quyền xem gói cước
1. Mở chi tiết gói Nháp</t>
  </si>
  <si>
    <t>1. Không hiển thị button Phát hành / gọi API bị từ chối</t>
  </si>
  <si>
    <t>Mục QL gói cước - UC Ban hành gói cước Pre-condition 1, NFR 3.1 - Cần BA confirm</t>
  </si>
  <si>
    <t>Hậu phát hành</t>
  </si>
  <si>
    <t>Kiểm tra hạn chế chỉnh sửa sau khi gói Đã phát hành</t>
  </si>
  <si>
    <t>ĐK: Gói vừa chuyển Đã phát hành
1. Click Chỉnh sửa
2. Thử sửa Mã gói, Loại gói, Tham số</t>
  </si>
  <si>
    <t>2. Không cho sửa Mã gói, Loại gói, Tham số</t>
  </si>
  <si>
    <t>Bảng Trạng thái gói cước STT 2 - thuộc UC Chỉnh sửa, kiểm tra hệ quả của phát hành</t>
  </si>
  <si>
    <t>Kiểm tra hạn chế chỉnh sửa sau khi gói Đang kinh doanh</t>
  </si>
  <si>
    <t>ĐK: Gói vừa chuyển Đang kinh doanh
1. Click Chỉnh sửa
2. Thử sửa Mã gói, Chu kỳ, Loại hình</t>
  </si>
  <si>
    <t>2. Không cho sửa Mã gói, Chu kỳ, Loại hình</t>
  </si>
  <si>
    <t>Bảng Trạng thái gói cước STT 3</t>
  </si>
  <si>
    <t>Kiểm tra ẩn button Phát hành và Nhân bản gói sau khi phát hành</t>
  </si>
  <si>
    <t>1. Click Phát hành &gt; Xác nhận (gói chuyển Đã phát hành)
2. Kiểm tra cụm button thanh tiêu đề</t>
  </si>
  <si>
    <t>2. Chỉ còn button "Chỉnh sửa", "Xóa"; không hiển thị "Phát hành", "Nhân bản gói"</t>
  </si>
  <si>
    <t>[Bổ sung 30/09/2026] Figma frame Đã phát hành, Đang kinh doanh: không có Phát hành, Nhân bản gói. SRS không nêu rule ẩn Nhân bản gói - Cần BA confirm - Kỹ thuật: Bảng quyết định</t>
  </si>
  <si>
    <t>1. BẢNG QUYẾT ĐỊNH - Button trên màn Chi tiết theo trạng thái gói (UC3 STT 3, BR_02)</t>
  </si>
  <si>
    <t>Thành phần / Trạng thái</t>
  </si>
  <si>
    <t>Nháp</t>
  </si>
  <si>
    <t>Đã phát hành</t>
  </si>
  <si>
    <t>Đang kinh doanh</t>
  </si>
  <si>
    <t>Ngừng kinh doanh</t>
  </si>
  <si>
    <t>Hiện, enable</t>
  </si>
  <si>
    <t>Button Xoá (SRS màn chi tiết)</t>
  </si>
  <si>
    <t>Enable</t>
  </si>
  <si>
    <t>Xoá (bảng Trạng thái gói)</t>
  </si>
  <si>
    <t>Được xoá</t>
  </si>
  <si>
    <t>Chỉ khi chưa có giao dịch</t>
  </si>
  <si>
    <t>KHÔNG được xoá</t>
  </si>
  <si>
    <t>Hiện</t>
  </si>
  <si>
    <t>Ẩn</t>
  </si>
  <si>
    <t>2. BẢNG QUYẾT ĐỊNH - Trường hiển thị theo Bật/tắt trạng thái (UC3 STT 13-15)</t>
  </si>
  <si>
    <t>Thành phần</t>
  </si>
  <si>
    <t>Tự động</t>
  </si>
  <si>
    <t>Thủ công</t>
  </si>
  <si>
    <t>Thời gian bắt đầu</t>
  </si>
  <si>
    <t>Thời gian kết thúc</t>
  </si>
  <si>
    <t>3. BẢNG QUYẾT ĐỊNH - Phát hành gói cước (UC4 Bước 2, 4)</t>
  </si>
  <si>
    <t>Điều kiện / Kết quả</t>
  </si>
  <si>
    <t>TH1.1</t>
  </si>
  <si>
    <t>TH1.2</t>
  </si>
  <si>
    <t>TH1.3</t>
  </si>
  <si>
    <t>Th2.1</t>
  </si>
  <si>
    <t>Th2.2</t>
  </si>
  <si>
    <t>Hiện tại so với Bắt đầu</t>
  </si>
  <si>
    <t>&lt; Bắt đầu</t>
  </si>
  <si>
    <t>≥ Bắt đầu</t>
  </si>
  <si>
    <t>-</t>
  </si>
  <si>
    <t>Hiện tại so với Kết thúc</t>
  </si>
  <si>
    <t>&lt; Kết thúc</t>
  </si>
  <si>
    <t>≥ Kết thúc</t>
  </si>
  <si>
    <t>Đang KD</t>
  </si>
  <si>
    <t>Ngừng KD</t>
  </si>
  <si>
    <t>Button phụ trên popup</t>
  </si>
  <si>
    <t>Sửa ngày bắt đầu</t>
  </si>
  <si>
    <t>Sửa ngày kết thúc</t>
  </si>
  <si>
    <t>Sửa trạng thái KD</t>
  </si>
  <si>
    <t>Trạng thái sau Xác nhận</t>
  </si>
  <si>
    <t>Hiển thị trên kênh bán</t>
  </si>
  <si>
    <t>Không (tới giờ bắt đầu mới hiện)</t>
  </si>
  <si>
    <t>Có</t>
  </si>
  <si>
    <t>Không</t>
  </si>
  <si>
    <t>4. PHÂN TÍCH GIÁ TRỊ BIÊN - Mốc thời gian khi phát hành (Tự động)</t>
  </si>
  <si>
    <t>Mốc</t>
  </si>
  <si>
    <t>Dưới biên</t>
  </si>
  <si>
    <t>Tại biên</t>
  </si>
  <si>
    <t>Trên biên</t>
  </si>
  <si>
    <t>Hiện tại = Bắt đầu - 1 phút -&gt; TH1.1 Đã phát hành</t>
  </si>
  <si>
    <t>Hiện tại = Bắt đầu -&gt; TH1.2 Đang KD</t>
  </si>
  <si>
    <t>Hiện tại = Bắt đầu + 1 ngày -&gt; TH1.2 Đang KD</t>
  </si>
  <si>
    <t>Hiện tại = Kết thúc - 1 phút -&gt; TH1.2 Đang KD</t>
  </si>
  <si>
    <t>Hiện tại = Kết thúc -&gt; TH1.3 Ngừng KD</t>
  </si>
  <si>
    <t>Hiện tại = Kết thúc + 1 ngày -&gt; TH1.3 Ngừng KD</t>
  </si>
  <si>
    <t>Mô tả tính năng (UC3 STT 22)</t>
  </si>
  <si>
    <t>≤ 2 hàng -&gt; hiện đủ</t>
  </si>
  <si>
    <t>2 hàng -&gt; hiện đủ</t>
  </si>
  <si>
    <t>&gt; 2 hàng -&gt; "…" + tooltip</t>
  </si>
  <si>
    <t>Giới hạn đăng ký (UC3)</t>
  </si>
  <si>
    <t>0/null -&gt; không giới hạn</t>
  </si>
  <si>
    <t>1 -&gt; giới hạn 1 lần</t>
  </si>
  <si>
    <t>5. SƠ ĐỒ CHUYỂN TRẠNG THÁI - Gói cước khi phát hành &amp; sau phát hành</t>
  </si>
  <si>
    <t>Trạng thái hiện tại</t>
  </si>
  <si>
    <t>Sự kiện</t>
  </si>
  <si>
    <t>Trạng thái kế tiếp</t>
  </si>
  <si>
    <t>Hợp lệ?</t>
  </si>
  <si>
    <t>Phát hành - TH1.1</t>
  </si>
  <si>
    <t>Hợp lệ</t>
  </si>
  <si>
    <t>Phát hành - TH1.2 / Th2.1</t>
  </si>
  <si>
    <t>Phát hành - TH1.3 / Th2.2</t>
  </si>
  <si>
    <t>Hợp lệ (bảng trạng thái chưa ghi, BA confirm)</t>
  </si>
  <si>
    <t>Popup: X / Hủy / Esc</t>
  </si>
  <si>
    <t>Giữ nguyên</t>
  </si>
  <si>
    <t>Popup: Sửa ngày bắt đầu/kết thúc/trạng thái KD</t>
  </si>
  <si>
    <t>Nháp (sang màn Chỉnh sửa)</t>
  </si>
  <si>
    <t>Xác nhận khi lỗi mạng/hệ thống</t>
  </si>
  <si>
    <t>Hệ thống quét: hiện tại ≥ bắt đầu</t>
  </si>
  <si>
    <t>Hệ thống quét: hiện tại ≥ kết thúc</t>
  </si>
  <si>
    <t>Đã phát hành / Đang KD / Ngừng KD</t>
  </si>
  <si>
    <t>Phát hành</t>
  </si>
  <si>
    <t>(không đổi)</t>
  </si>
  <si>
    <t>KHÔNG hợp lệ - không có button, API từ chối</t>
  </si>
  <si>
    <t>Xoá</t>
  </si>
  <si>
    <t>KHÔNG hợp lệ</t>
  </si>
  <si>
    <t>Đã xoá</t>
  </si>
  <si>
    <t>Phát hành (admin khác đã xoá)</t>
  </si>
  <si>
    <t>KHÔNG hợp lệ - tranh chấp</t>
  </si>
  <si>
    <t>2 admin cùng Xác nhận</t>
  </si>
  <si>
    <t>Chuyển 1 lần</t>
  </si>
  <si>
    <t>Tranh chấp - lần 2 bị từ chối</t>
  </si>
  <si>
    <t>6. BẢNG QUYẾT ĐỊNH - Cụm button thanh tiêu đề theo trạng thái (Figma đối chiếu SRS) [bổ sung 30/09/2026]</t>
  </si>
  <si>
    <t>Button / Trạng thái</t>
  </si>
  <si>
    <t>Nguồn</t>
  </si>
  <si>
    <t>Hiện (nền đen)</t>
  </si>
  <si>
    <t>SRS BR_01 + Figma</t>
  </si>
  <si>
    <t>Nhân bản gói</t>
  </si>
  <si>
    <t>Chỉ có trên Figma - BA confirm</t>
  </si>
  <si>
    <t>Chỉnh sửa</t>
  </si>
  <si>
    <t>SRS + Figma</t>
  </si>
  <si>
    <t>Xóa</t>
  </si>
  <si>
    <t>Hiện (nền đỏ)</t>
  </si>
  <si>
    <t>SRS "enable tất cả trạng thái" ≠ bảng trạng thái "Đang KD không được xoá"</t>
  </si>
  <si>
    <t>7. SƠ ĐỒ CHUYỂN TRẠNG THÁI - Vòng lặp "Sửa ..." từ popup [bổ sung 30/09/2026]</t>
  </si>
  <si>
    <t>Popup ban đầu</t>
  </si>
  <si>
    <t>Button phụ</t>
  </si>
  <si>
    <t>Sửa tại màn Chỉnh sửa</t>
  </si>
  <si>
    <t>Popup khi phát hành lại</t>
  </si>
  <si>
    <t>Bắt đầu = hiện tại + 1 ngày</t>
  </si>
  <si>
    <t>Kết thúc = hiện tại + 30 ngày</t>
  </si>
  <si>
    <t>Sửa trạng thái kinh doanh</t>
  </si>
  <si>
    <t>Trạng thái KD = Đang KD</t>
  </si>
  <si>
    <t>Đổi sang Tự động, bắt đầu tương lai</t>
  </si>
  <si>
    <t>Bất kỳ</t>
  </si>
  <si>
    <t>Sửa ...</t>
  </si>
  <si>
    <t>Back, không lưu</t>
  </si>
  <si>
    <t>(không phát hành)</t>
  </si>
  <si>
    <t>8. PHÂN VÙNG TƯƠNG ĐƯƠNG - Hiển thị trên kênh bán sau khi gói Đang kinh doanh [bổ sung 30/09/2026]</t>
  </si>
  <si>
    <t>Lớp dữ liệu</t>
  </si>
  <si>
    <t>Giá trị</t>
  </si>
  <si>
    <t>Web OA</t>
  </si>
  <si>
    <t>Miniapp</t>
  </si>
  <si>
    <t>Web OA + Miniapp</t>
  </si>
  <si>
    <t>Chỉ Miniapp</t>
  </si>
  <si>
    <t>Chỉ Web OA</t>
  </si>
  <si>
    <t>Ẩn (bộ TC cũ)</t>
  </si>
  <si>
    <t>Gói chính</t>
  </si>
  <si>
    <t>Khối Bước 1 - gói chính</t>
  </si>
  <si>
    <t>Gói add-on</t>
  </si>
  <si>
    <t>Khối Bước 2 - Add-on</t>
  </si>
  <si>
    <t>Gói nền</t>
  </si>
  <si>
    <t>Không hiển thị (BA confirm)</t>
  </si>
  <si>
    <t>Loại hình OA áp dụng</t>
  </si>
  <si>
    <t>Không khớp OA đang xem</t>
  </si>
  <si>
    <t>9. PHÂN TÍCH GIÁ TRỊ BIÊN / DỮ LIỆU THỜI GIAN [bổ sung 30/09/2026]</t>
  </si>
  <si>
    <t>Ràng buộc</t>
  </si>
  <si>
    <t>Mã gói hiển thị trong popup (tối đa 50 ký tự)</t>
  </si>
  <si>
    <t>49 ký tự</t>
  </si>
  <si>
    <t>50 ký tự -&gt; xuống dòng, không tràn</t>
  </si>
  <si>
    <t>51 ký tự: không tạo được (UC2 chặn)</t>
  </si>
  <si>
    <t>TH1.2 tạo qua UI</t>
  </si>
  <si>
    <t>Bắt đầu = hiện tại + 2 phút, chưa tới -&gt; TH1.1</t>
  </si>
  <si>
    <t>Vừa qua bắt đầu -&gt; TH1.2</t>
  </si>
  <si>
    <t>TH1.3 tạo qua UI</t>
  </si>
  <si>
    <t>Chưa tới kết thúc -&gt; TH1.2</t>
  </si>
  <si>
    <t>Vừa qua kết thúc -&gt; TH1.3 (ưu tiên hơn TH1.2)</t>
  </si>
  <si>
    <t>Giờ máy admin lệch</t>
  </si>
  <si>
    <t>Lệch 0</t>
  </si>
  <si>
    <t>Lệch + 2 ngày -&gt; vẫn theo giờ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</si>
</sst>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10" x14ac:knownFonts="1">
    <font>
      <sz val="10"/>
      <color rgb="FF000000"/>
      <name val="Arial"/>
      <scheme val="minor"/>
    </font>
    <font>
      <sz val="12"/>
      <color theme="1"/>
      <name val="Times New Roman"/>
    </font>
    <font>
      <sz val="10"/>
      <color theme="1"/>
      <name val="Arial"/>
    </font>
    <font>
      <b/>
      <sz val="12"/>
      <color rgb="FF000000"/>
      <name val="Times New Roman"/>
    </font>
    <font>
      <b/>
      <sz val="12"/>
      <color theme="1"/>
      <name val="Times New Roman"/>
    </font>
    <font>
      <sz val="12"/>
      <color rgb="FF000000"/>
      <name val="Times New Roman"/>
    </font>
    <font>
      <u/>
      <sz val="12"/>
      <color theme="1"/>
      <name val="Times New Roman"/>
    </font>
    <font>
      <b/>
      <sz val="13"/>
      <name val="Times New Roman"/>
    </font>
    <font>
      <b/>
      <sz val="12"/>
      <name val="Times New Roman"/>
    </font>
    <font>
      <sz val="12"/>
      <name val="Times New Roman"/>
    </font>
  </fonts>
  <fills count="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FF9900"/>
        <bgColor rgb="FFFF9900"/>
      </patternFill>
    </fill>
    <fill>
      <patternFill patternType="solid">
        <fgColor rgb="FF4A86E8"/>
        <bgColor rgb="FF4A86E8"/>
      </patternFill>
    </fill>
    <fill>
      <patternFill patternType="solid">
        <fgColor rgb="FFD8D8D8"/>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35">
    <xf numFmtId="0" fontId="0" fillId="0" borderId="0" xfId="0"/>
    <xf numFmtId="0" fontId="1" fillId="0" borderId="0" xfId="0" applyFont="1" applyAlignment="1">
      <alignment wrapText="1"/>
    </xf>
    <xf numFmtId="0" fontId="5" fillId="2" borderId="3" xfId="0" applyFont="1" applyFill="1" applyBorder="1" applyAlignment="1">
      <alignment vertical="top" wrapText="1"/>
    </xf>
    <xf numFmtId="0" fontId="5" fillId="2" borderId="0" xfId="0" applyFont="1" applyFill="1" applyAlignment="1">
      <alignment vertical="top" wrapText="1"/>
    </xf>
    <xf numFmtId="0" fontId="5"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0" borderId="1" xfId="0" applyFont="1" applyBorder="1" applyAlignment="1">
      <alignment vertical="top" wrapText="1"/>
    </xf>
    <xf numFmtId="0" fontId="1" fillId="0" borderId="0" xfId="0" applyFont="1" applyAlignment="1">
      <alignment vertical="top" wrapText="1"/>
    </xf>
    <xf numFmtId="0" fontId="3" fillId="2"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3" fillId="0" borderId="2" xfId="0" applyFont="1" applyBorder="1" applyAlignment="1">
      <alignment horizontal="center" vertical="top" wrapText="1"/>
    </xf>
    <xf numFmtId="0" fontId="2" fillId="5" borderId="1" xfId="0" applyFont="1" applyFill="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165" fontId="2" fillId="0" borderId="1" xfId="0" applyNumberFormat="1" applyFont="1" applyBorder="1" applyAlignment="1">
      <alignment vertical="top" wrapText="1"/>
    </xf>
    <xf numFmtId="0" fontId="7" fillId="0" borderId="0" xfId="0" applyFont="1"/>
    <xf numFmtId="0" fontId="8" fillId="6" borderId="8" xfId="0" applyFont="1" applyFill="1" applyBorder="1" applyAlignment="1">
      <alignment horizontal="center" vertical="center" wrapText="1"/>
    </xf>
    <xf numFmtId="0" fontId="9" fillId="0" borderId="8" xfId="0" applyFont="1" applyBorder="1" applyAlignment="1">
      <alignment horizontal="left" vertical="center" wrapText="1"/>
    </xf>
    <xf numFmtId="0" fontId="1" fillId="0" borderId="1" xfId="0" applyFont="1" applyBorder="1" applyAlignment="1">
      <alignment vertical="top" wrapText="1"/>
    </xf>
    <xf numFmtId="0" fontId="0" fillId="0" borderId="7" xfId="0" applyBorder="1"/>
    <xf numFmtId="0" fontId="3" fillId="3"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6" fillId="2" borderId="1" xfId="0" applyFont="1" applyFill="1" applyBorder="1" applyAlignment="1">
      <alignment vertical="top" wrapText="1"/>
    </xf>
    <xf numFmtId="0" fontId="0" fillId="0" borderId="4" xfId="0" applyBorder="1"/>
    <xf numFmtId="0" fontId="0" fillId="0" borderId="5" xfId="0" applyBorder="1"/>
    <xf numFmtId="0" fontId="4" fillId="2" borderId="1" xfId="0" applyFont="1" applyFill="1" applyBorder="1" applyAlignment="1">
      <alignment vertical="top" wrapText="1"/>
    </xf>
    <xf numFmtId="0" fontId="0" fillId="0" borderId="6" xfId="0" applyBorder="1"/>
    <xf numFmtId="0" fontId="3" fillId="2" borderId="5" xfId="0" applyFont="1" applyFill="1" applyBorder="1" applyAlignment="1">
      <alignment horizontal="center" vertical="top" wrapText="1"/>
    </xf>
    <xf numFmtId="0" fontId="4" fillId="5" borderId="1" xfId="0" applyFont="1" applyFill="1" applyBorder="1" applyAlignment="1">
      <alignment vertical="top" wrapText="1"/>
    </xf>
    <xf numFmtId="0" fontId="4" fillId="0" borderId="1" xfId="0" applyFont="1" applyBorder="1" applyAlignment="1">
      <alignment vertical="top" wrapText="1"/>
    </xf>
    <xf numFmtId="0" fontId="3" fillId="4" borderId="7" xfId="0" applyFont="1" applyFill="1" applyBorder="1" applyAlignment="1">
      <alignment horizontal="center" vertical="top" wrapText="1"/>
    </xf>
    <xf numFmtId="0" fontId="3" fillId="3" borderId="7" xfId="0" applyFont="1" applyFill="1" applyBorder="1" applyAlignment="1">
      <alignment horizontal="center" vertical="top" wrapText="1"/>
    </xf>
    <xf numFmtId="0" fontId="1" fillId="0" borderId="3" xfId="0" applyFont="1" applyBorder="1" applyAlignment="1">
      <alignment horizontal="left" vertical="top" wrapText="1"/>
    </xf>
    <xf numFmtId="0" fontId="0" fillId="0" borderId="3" xfId="0" applyBorder="1"/>
    <xf numFmtId="0" fontId="3" fillId="2" borderId="1" xfId="0" applyFont="1" applyFill="1" applyBorder="1" applyAlignment="1">
      <alignment horizontal="left" vertical="top" wrapText="1"/>
    </xf>
  </cellXfs>
  <cellStyles count="1">
    <cellStyle name="Normal" xfId="0" builtinId="0"/>
  </cellStyles>
  <dxfs count="2">
    <dxf>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545"/>
  <sheetViews>
    <sheetView tabSelected="1" topLeftCell="A169" workbookViewId="0">
      <selection activeCell="A91" sqref="A91:M176"/>
    </sheetView>
  </sheetViews>
  <sheetFormatPr defaultColWidth="12.5703125" defaultRowHeight="15" customHeight="1" x14ac:dyDescent="0.2"/>
  <cols>
    <col min="1" max="1" width="12.5703125" customWidth="1"/>
    <col min="2" max="2" width="21" customWidth="1"/>
    <col min="3" max="3" width="45.85546875" customWidth="1"/>
    <col min="4" max="4" width="51.28515625" customWidth="1"/>
    <col min="5" max="5" width="48.140625" customWidth="1"/>
    <col min="6" max="6" width="21.42578125" hidden="1" customWidth="1"/>
    <col min="7" max="8" width="11" hidden="1" customWidth="1"/>
    <col min="9" max="9" width="13" hidden="1" customWidth="1"/>
    <col min="10" max="10" width="12.5703125" hidden="1" customWidth="1"/>
    <col min="12" max="12" width="0" hidden="1" customWidth="1"/>
    <col min="13" max="13" width="33" customWidth="1"/>
  </cols>
  <sheetData>
    <row r="1" spans="1:29" ht="15.75" x14ac:dyDescent="0.25">
      <c r="A1" s="32"/>
      <c r="B1" s="33"/>
      <c r="C1" s="27" t="s">
        <v>0</v>
      </c>
      <c r="D1" s="23"/>
      <c r="E1" s="23"/>
      <c r="F1" s="23"/>
      <c r="G1" s="23"/>
      <c r="H1" s="23"/>
      <c r="I1" s="23"/>
      <c r="J1" s="23"/>
      <c r="K1" s="23"/>
      <c r="L1" s="23"/>
      <c r="M1" s="24"/>
      <c r="N1" s="7"/>
      <c r="O1" s="1"/>
      <c r="P1" s="1"/>
      <c r="Q1" s="1"/>
      <c r="R1" s="1"/>
      <c r="S1" s="1"/>
      <c r="T1" s="1"/>
      <c r="U1" s="1"/>
      <c r="V1" s="1"/>
      <c r="W1" s="1"/>
      <c r="X1" s="1"/>
      <c r="Y1" s="1"/>
      <c r="Z1" s="1"/>
      <c r="AA1" s="1"/>
      <c r="AB1" s="1"/>
      <c r="AC1" s="1"/>
    </row>
    <row r="2" spans="1:29" ht="47.25" x14ac:dyDescent="0.25">
      <c r="A2" s="34" t="s">
        <v>1</v>
      </c>
      <c r="B2" s="24"/>
      <c r="C2" s="2" t="s">
        <v>2</v>
      </c>
      <c r="D2" s="3"/>
      <c r="E2" s="3"/>
      <c r="F2" s="3"/>
      <c r="G2" s="3"/>
      <c r="H2" s="3"/>
      <c r="I2" s="3"/>
      <c r="J2" s="3"/>
      <c r="K2" s="3"/>
      <c r="L2" s="3"/>
      <c r="M2" s="3"/>
      <c r="N2" s="7"/>
      <c r="O2" s="1"/>
      <c r="P2" s="1"/>
      <c r="Q2" s="1"/>
      <c r="R2" s="1"/>
      <c r="S2" s="1"/>
      <c r="T2" s="1"/>
      <c r="U2" s="1"/>
      <c r="V2" s="1"/>
      <c r="W2" s="1"/>
      <c r="X2" s="1"/>
      <c r="Y2" s="1"/>
      <c r="Z2" s="1"/>
      <c r="AA2" s="1"/>
      <c r="AB2" s="1"/>
      <c r="AC2" s="1"/>
    </row>
    <row r="3" spans="1:29" ht="94.5" x14ac:dyDescent="0.25">
      <c r="A3" s="34" t="s">
        <v>3</v>
      </c>
      <c r="B3" s="24"/>
      <c r="C3" s="6" t="s">
        <v>4</v>
      </c>
      <c r="D3" s="3"/>
      <c r="E3" s="3"/>
      <c r="F3" s="7"/>
      <c r="G3" s="3"/>
      <c r="H3" s="3"/>
      <c r="I3" s="3"/>
      <c r="J3" s="3"/>
      <c r="K3" s="3"/>
      <c r="L3" s="3"/>
      <c r="M3" s="3"/>
      <c r="N3" s="7"/>
      <c r="O3" s="1"/>
      <c r="P3" s="1"/>
      <c r="Q3" s="1"/>
      <c r="R3" s="1"/>
      <c r="S3" s="1"/>
      <c r="T3" s="1"/>
      <c r="U3" s="1"/>
      <c r="V3" s="1"/>
      <c r="W3" s="1"/>
      <c r="X3" s="1"/>
      <c r="Y3" s="1"/>
      <c r="Z3" s="1"/>
      <c r="AA3" s="1"/>
      <c r="AB3" s="1"/>
      <c r="AC3" s="1"/>
    </row>
    <row r="4" spans="1:29" ht="15.75" x14ac:dyDescent="0.25">
      <c r="A4" s="8" t="s">
        <v>5</v>
      </c>
      <c r="B4" s="8"/>
      <c r="C4" s="4" t="s">
        <v>6</v>
      </c>
      <c r="D4" s="3"/>
      <c r="E4" s="3"/>
      <c r="F4" s="7"/>
      <c r="G4" s="3"/>
      <c r="H4" s="3"/>
      <c r="I4" s="3"/>
      <c r="J4" s="3"/>
      <c r="K4" s="3"/>
      <c r="L4" s="3"/>
      <c r="M4" s="3"/>
      <c r="N4" s="7"/>
      <c r="O4" s="1"/>
      <c r="P4" s="1"/>
      <c r="Q4" s="1"/>
      <c r="R4" s="1"/>
      <c r="S4" s="1"/>
      <c r="T4" s="1"/>
      <c r="U4" s="1"/>
      <c r="V4" s="1"/>
      <c r="W4" s="1"/>
      <c r="X4" s="1"/>
      <c r="Y4" s="1"/>
      <c r="Z4" s="1"/>
      <c r="AA4" s="1"/>
      <c r="AB4" s="1"/>
      <c r="AC4" s="1"/>
    </row>
    <row r="5" spans="1:29" ht="15.75" x14ac:dyDescent="0.25">
      <c r="A5" s="34" t="s">
        <v>7</v>
      </c>
      <c r="B5" s="24"/>
      <c r="C5" s="2"/>
      <c r="D5" s="3"/>
      <c r="E5" s="3"/>
      <c r="F5" s="3"/>
      <c r="G5" s="3"/>
      <c r="H5" s="3"/>
      <c r="I5" s="3"/>
      <c r="J5" s="3"/>
      <c r="K5" s="3"/>
      <c r="L5" s="3"/>
      <c r="M5" s="3"/>
      <c r="N5" s="7"/>
      <c r="O5" s="1"/>
      <c r="P5" s="1"/>
      <c r="Q5" s="1"/>
      <c r="R5" s="1"/>
      <c r="S5" s="1"/>
      <c r="T5" s="1"/>
      <c r="U5" s="1"/>
      <c r="V5" s="1"/>
      <c r="W5" s="1"/>
      <c r="X5" s="1"/>
      <c r="Y5" s="1"/>
      <c r="Z5" s="1"/>
      <c r="AA5" s="1"/>
      <c r="AB5" s="1"/>
      <c r="AC5" s="1"/>
    </row>
    <row r="6" spans="1:29" ht="15.75" x14ac:dyDescent="0.25">
      <c r="A6" s="34" t="s">
        <v>8</v>
      </c>
      <c r="B6" s="24"/>
      <c r="C6" s="9">
        <f>COUNTIF(A12:A176,"*TC*")</f>
        <v>150</v>
      </c>
      <c r="D6" s="3"/>
      <c r="E6" s="3"/>
      <c r="F6" s="3"/>
      <c r="G6" s="3"/>
      <c r="H6" s="3"/>
      <c r="I6" s="3"/>
      <c r="J6" s="3"/>
      <c r="K6" s="3"/>
      <c r="L6" s="3"/>
      <c r="M6" s="3"/>
      <c r="N6" s="7"/>
      <c r="O6" s="1"/>
      <c r="P6" s="1"/>
      <c r="Q6" s="1"/>
      <c r="R6" s="1"/>
      <c r="S6" s="1"/>
      <c r="T6" s="1"/>
      <c r="U6" s="1"/>
      <c r="V6" s="1"/>
      <c r="W6" s="1"/>
      <c r="X6" s="1"/>
      <c r="Y6" s="1"/>
      <c r="Z6" s="1"/>
      <c r="AA6" s="1"/>
      <c r="AB6" s="1"/>
      <c r="AC6" s="1"/>
    </row>
    <row r="7" spans="1:29" ht="15.75" x14ac:dyDescent="0.25">
      <c r="A7" s="25" t="s">
        <v>9</v>
      </c>
      <c r="B7" s="24"/>
      <c r="C7" s="5">
        <f>COUNTIF($K$15:$K$176,"Pass")</f>
        <v>0</v>
      </c>
      <c r="D7" s="10"/>
      <c r="E7" s="10"/>
      <c r="F7" s="10"/>
      <c r="G7" s="10"/>
      <c r="H7" s="10"/>
      <c r="I7" s="10"/>
      <c r="J7" s="10"/>
      <c r="K7" s="10"/>
      <c r="L7" s="10"/>
      <c r="M7" s="10"/>
      <c r="N7" s="7"/>
      <c r="O7" s="1"/>
      <c r="P7" s="1"/>
      <c r="Q7" s="1"/>
      <c r="R7" s="1"/>
      <c r="S7" s="1"/>
      <c r="T7" s="1"/>
      <c r="U7" s="1"/>
      <c r="V7" s="1"/>
      <c r="W7" s="1"/>
      <c r="X7" s="1"/>
      <c r="Y7" s="1"/>
      <c r="Z7" s="1"/>
      <c r="AA7" s="1"/>
      <c r="AB7" s="1"/>
      <c r="AC7" s="1"/>
    </row>
    <row r="8" spans="1:29" ht="15.75" x14ac:dyDescent="0.25">
      <c r="A8" s="25" t="s">
        <v>10</v>
      </c>
      <c r="B8" s="24"/>
      <c r="C8" s="5">
        <f>COUNTIF($K$15:$K$176,"Fail")</f>
        <v>0</v>
      </c>
      <c r="D8" s="10"/>
      <c r="E8" s="10"/>
      <c r="F8" s="10"/>
      <c r="G8" s="10"/>
      <c r="H8" s="10"/>
      <c r="I8" s="10"/>
      <c r="J8" s="10"/>
      <c r="K8" s="10"/>
      <c r="L8" s="10"/>
      <c r="M8" s="10"/>
      <c r="N8" s="7"/>
      <c r="O8" s="1"/>
      <c r="P8" s="1"/>
      <c r="Q8" s="1"/>
      <c r="R8" s="1"/>
      <c r="S8" s="1"/>
      <c r="T8" s="1"/>
      <c r="U8" s="1"/>
      <c r="V8" s="1"/>
      <c r="W8" s="1"/>
      <c r="X8" s="1"/>
      <c r="Y8" s="1"/>
      <c r="Z8" s="1"/>
      <c r="AA8" s="1"/>
      <c r="AB8" s="1"/>
      <c r="AC8" s="1"/>
    </row>
    <row r="9" spans="1:29" ht="15.75" x14ac:dyDescent="0.25">
      <c r="A9" s="25" t="s">
        <v>11</v>
      </c>
      <c r="B9" s="24"/>
      <c r="C9" s="5">
        <f>COUNTIF($K$15:$K$176,"N/A")</f>
        <v>0</v>
      </c>
      <c r="D9" s="10"/>
      <c r="E9" s="10"/>
      <c r="F9" s="10"/>
      <c r="G9" s="10"/>
      <c r="H9" s="10"/>
      <c r="I9" s="10"/>
      <c r="J9" s="10"/>
      <c r="K9" s="10"/>
      <c r="L9" s="10"/>
      <c r="M9" s="10"/>
      <c r="N9" s="7"/>
      <c r="O9" s="1"/>
      <c r="P9" s="1"/>
      <c r="Q9" s="1"/>
      <c r="R9" s="1"/>
      <c r="S9" s="1"/>
      <c r="T9" s="1"/>
      <c r="U9" s="1"/>
      <c r="V9" s="1"/>
      <c r="W9" s="1"/>
      <c r="X9" s="1"/>
      <c r="Y9" s="1"/>
      <c r="Z9" s="1"/>
      <c r="AA9" s="1"/>
      <c r="AB9" s="1"/>
      <c r="AC9" s="1"/>
    </row>
    <row r="10" spans="1:29" ht="15.75" x14ac:dyDescent="0.25">
      <c r="A10" s="20" t="s">
        <v>5</v>
      </c>
      <c r="B10" s="20" t="s">
        <v>1</v>
      </c>
      <c r="C10" s="20" t="s">
        <v>12</v>
      </c>
      <c r="D10" s="20" t="s">
        <v>13</v>
      </c>
      <c r="E10" s="20" t="s">
        <v>14</v>
      </c>
      <c r="F10" s="20" t="s">
        <v>15</v>
      </c>
      <c r="G10" s="21" t="s">
        <v>16</v>
      </c>
      <c r="H10" s="20" t="s">
        <v>17</v>
      </c>
      <c r="I10" s="31" t="s">
        <v>18</v>
      </c>
      <c r="J10" s="30" t="s">
        <v>19</v>
      </c>
      <c r="K10" s="31" t="s">
        <v>20</v>
      </c>
      <c r="L10" s="31" t="s">
        <v>21</v>
      </c>
      <c r="M10" s="31" t="s">
        <v>22</v>
      </c>
      <c r="N10" s="7"/>
      <c r="O10" s="1"/>
      <c r="P10" s="1"/>
      <c r="Q10" s="1"/>
      <c r="R10" s="1"/>
      <c r="S10" s="1"/>
      <c r="T10" s="1"/>
      <c r="U10" s="1"/>
      <c r="V10" s="1"/>
      <c r="W10" s="1"/>
      <c r="X10" s="1"/>
      <c r="Y10" s="1"/>
      <c r="Z10" s="1"/>
      <c r="AA10" s="1"/>
      <c r="AB10" s="1"/>
      <c r="AC10" s="1"/>
    </row>
    <row r="11" spans="1:29" ht="15.75" x14ac:dyDescent="0.25">
      <c r="A11" s="19"/>
      <c r="B11" s="19"/>
      <c r="C11" s="19"/>
      <c r="D11" s="19"/>
      <c r="E11" s="19"/>
      <c r="F11" s="19"/>
      <c r="G11" s="19"/>
      <c r="H11" s="19"/>
      <c r="I11" s="19"/>
      <c r="J11" s="19"/>
      <c r="K11" s="19"/>
      <c r="L11" s="19"/>
      <c r="M11" s="19"/>
      <c r="N11" s="7"/>
      <c r="O11" s="1"/>
      <c r="P11" s="1"/>
      <c r="Q11" s="1"/>
      <c r="R11" s="1"/>
      <c r="S11" s="1"/>
      <c r="T11" s="1"/>
      <c r="U11" s="1"/>
      <c r="V11" s="1"/>
      <c r="W11" s="1"/>
      <c r="X11" s="1"/>
      <c r="Y11" s="1"/>
      <c r="Z11" s="1"/>
      <c r="AA11" s="1"/>
      <c r="AB11" s="1"/>
      <c r="AC11" s="1"/>
    </row>
    <row r="12" spans="1:29" ht="20.100000000000001" customHeight="1" x14ac:dyDescent="0.2">
      <c r="A12" s="28" t="s">
        <v>23</v>
      </c>
      <c r="B12" s="23"/>
      <c r="C12" s="24"/>
      <c r="D12" s="11"/>
      <c r="E12" s="11"/>
      <c r="F12" s="11"/>
      <c r="G12" s="11"/>
      <c r="H12" s="11"/>
      <c r="I12" s="11"/>
      <c r="J12" s="11"/>
      <c r="K12" s="11"/>
      <c r="L12" s="11"/>
      <c r="M12" s="11"/>
    </row>
    <row r="13" spans="1:29" ht="80.099999999999994" customHeight="1" x14ac:dyDescent="0.2">
      <c r="A13" s="22" t="s">
        <v>24</v>
      </c>
      <c r="B13" s="23"/>
      <c r="C13" s="23"/>
      <c r="D13" s="23"/>
      <c r="E13" s="23"/>
      <c r="F13" s="23"/>
      <c r="G13" s="23"/>
      <c r="H13" s="23"/>
      <c r="I13" s="23"/>
      <c r="J13" s="23"/>
      <c r="K13" s="23"/>
      <c r="L13" s="23"/>
      <c r="M13" s="24"/>
    </row>
    <row r="14" spans="1:29" ht="20.100000000000001" customHeight="1" x14ac:dyDescent="0.2">
      <c r="A14" s="29" t="s">
        <v>25</v>
      </c>
      <c r="B14" s="23"/>
      <c r="C14" s="23"/>
      <c r="D14" s="23"/>
      <c r="E14" s="23"/>
      <c r="F14" s="23"/>
      <c r="G14" s="23"/>
      <c r="H14" s="23"/>
      <c r="I14" s="23"/>
      <c r="J14" s="23"/>
      <c r="K14" s="24"/>
      <c r="L14" s="13"/>
      <c r="M14" s="13"/>
    </row>
    <row r="15" spans="1:29" ht="80.099999999999994" customHeight="1" x14ac:dyDescent="0.2">
      <c r="A15" s="12" t="str">
        <f>$C$4&amp;"-"&amp;TEXT(COUNTA($D$12:D15),"00")</f>
        <v>TC-01</v>
      </c>
      <c r="B15" s="18" t="s">
        <v>26</v>
      </c>
      <c r="C15" s="6" t="s">
        <v>27</v>
      </c>
      <c r="D15" s="6" t="s">
        <v>28</v>
      </c>
      <c r="E15" s="6" t="s">
        <v>29</v>
      </c>
      <c r="F15" s="13"/>
      <c r="G15" s="14" t="s">
        <v>30</v>
      </c>
      <c r="H15" s="13"/>
      <c r="I15" s="13"/>
      <c r="J15" s="13"/>
      <c r="K15" s="13"/>
      <c r="L15" s="13"/>
      <c r="M15" s="13" t="s">
        <v>31</v>
      </c>
    </row>
    <row r="16" spans="1:29" ht="96" customHeight="1" x14ac:dyDescent="0.2">
      <c r="A16" s="12" t="str">
        <f>$C$4&amp;"-"&amp;TEXT(COUNTA($D$12:D16),"00")</f>
        <v>TC-02</v>
      </c>
      <c r="B16" s="26"/>
      <c r="C16" s="6" t="s">
        <v>32</v>
      </c>
      <c r="D16" s="6" t="s">
        <v>33</v>
      </c>
      <c r="E16" s="6" t="s">
        <v>34</v>
      </c>
      <c r="F16" s="13"/>
      <c r="G16" s="14" t="s">
        <v>30</v>
      </c>
      <c r="H16" s="13"/>
      <c r="I16" s="13"/>
      <c r="J16" s="13"/>
      <c r="K16" s="13"/>
      <c r="L16" s="13"/>
      <c r="M16" s="13"/>
    </row>
    <row r="17" spans="1:13" ht="63.95" customHeight="1" x14ac:dyDescent="0.2">
      <c r="A17" s="12" t="str">
        <f>$C$4&amp;"-"&amp;TEXT(COUNTA($D$12:D17),"00")</f>
        <v>TC-03</v>
      </c>
      <c r="B17" s="26"/>
      <c r="C17" s="6" t="s">
        <v>35</v>
      </c>
      <c r="D17" s="6" t="s">
        <v>36</v>
      </c>
      <c r="E17" s="6" t="s">
        <v>37</v>
      </c>
      <c r="F17" s="13"/>
      <c r="G17" s="14" t="s">
        <v>30</v>
      </c>
      <c r="H17" s="13"/>
      <c r="I17" s="13"/>
      <c r="J17" s="13"/>
      <c r="K17" s="13"/>
      <c r="L17" s="13"/>
      <c r="M17" s="13"/>
    </row>
    <row r="18" spans="1:13" ht="32.1" customHeight="1" x14ac:dyDescent="0.2">
      <c r="A18" s="12" t="str">
        <f>$C$4&amp;"-"&amp;TEXT(COUNTA($D$12:D18),"00")</f>
        <v>TC-04</v>
      </c>
      <c r="B18" s="26"/>
      <c r="C18" s="6" t="s">
        <v>38</v>
      </c>
      <c r="D18" s="6" t="s">
        <v>39</v>
      </c>
      <c r="E18" s="6" t="s">
        <v>40</v>
      </c>
      <c r="F18" s="13"/>
      <c r="G18" s="14" t="s">
        <v>30</v>
      </c>
      <c r="H18" s="13"/>
      <c r="I18" s="13"/>
      <c r="J18" s="13"/>
      <c r="K18" s="13"/>
      <c r="L18" s="13"/>
      <c r="M18" s="13"/>
    </row>
    <row r="19" spans="1:13" ht="48" customHeight="1" x14ac:dyDescent="0.2">
      <c r="A19" s="12" t="str">
        <f>$C$4&amp;"-"&amp;TEXT(COUNTA($D$12:D19),"00")</f>
        <v>TC-05</v>
      </c>
      <c r="B19" s="19"/>
      <c r="C19" s="6" t="s">
        <v>41</v>
      </c>
      <c r="D19" s="6" t="s">
        <v>42</v>
      </c>
      <c r="E19" s="6" t="s">
        <v>43</v>
      </c>
      <c r="F19" s="13"/>
      <c r="G19" s="14" t="s">
        <v>30</v>
      </c>
      <c r="H19" s="13"/>
      <c r="I19" s="13"/>
      <c r="J19" s="13"/>
      <c r="K19" s="13"/>
      <c r="L19" s="13"/>
      <c r="M19" s="13"/>
    </row>
    <row r="20" spans="1:13" ht="20.100000000000001" customHeight="1" x14ac:dyDescent="0.2">
      <c r="A20" s="29" t="s">
        <v>44</v>
      </c>
      <c r="B20" s="23"/>
      <c r="C20" s="23"/>
      <c r="D20" s="23"/>
      <c r="E20" s="23"/>
      <c r="F20" s="23"/>
      <c r="G20" s="23"/>
      <c r="H20" s="23"/>
      <c r="I20" s="23"/>
      <c r="J20" s="23"/>
      <c r="K20" s="24"/>
      <c r="L20" s="13"/>
      <c r="M20" s="13"/>
    </row>
    <row r="21" spans="1:13" ht="32.1" customHeight="1" x14ac:dyDescent="0.2">
      <c r="A21" s="12" t="str">
        <f>$C$4&amp;"-"&amp;TEXT(COUNTA($D$12:D21),"00")</f>
        <v>TC-06</v>
      </c>
      <c r="B21" s="18" t="s">
        <v>45</v>
      </c>
      <c r="C21" s="6" t="s">
        <v>46</v>
      </c>
      <c r="D21" s="6" t="s">
        <v>47</v>
      </c>
      <c r="E21" s="6" t="s">
        <v>48</v>
      </c>
      <c r="F21" s="13"/>
      <c r="G21" s="14" t="s">
        <v>30</v>
      </c>
      <c r="H21" s="13"/>
      <c r="I21" s="13"/>
      <c r="J21" s="13"/>
      <c r="K21" s="13"/>
      <c r="L21" s="13"/>
      <c r="M21" s="13" t="s">
        <v>49</v>
      </c>
    </row>
    <row r="22" spans="1:13" ht="32.1" customHeight="1" x14ac:dyDescent="0.2">
      <c r="A22" s="12" t="str">
        <f>$C$4&amp;"-"&amp;TEXT(COUNTA($D$12:D22),"00")</f>
        <v>TC-07</v>
      </c>
      <c r="B22" s="26"/>
      <c r="C22" s="6" t="s">
        <v>50</v>
      </c>
      <c r="D22" s="6" t="s">
        <v>51</v>
      </c>
      <c r="E22" s="6" t="s">
        <v>52</v>
      </c>
      <c r="F22" s="13"/>
      <c r="G22" s="14" t="s">
        <v>30</v>
      </c>
      <c r="H22" s="13"/>
      <c r="I22" s="13"/>
      <c r="J22" s="13"/>
      <c r="K22" s="13"/>
      <c r="L22" s="13"/>
      <c r="M22" s="13" t="s">
        <v>53</v>
      </c>
    </row>
    <row r="23" spans="1:13" ht="32.1" customHeight="1" x14ac:dyDescent="0.2">
      <c r="A23" s="12" t="str">
        <f>$C$4&amp;"-"&amp;TEXT(COUNTA($D$12:D23),"00")</f>
        <v>TC-08</v>
      </c>
      <c r="B23" s="19"/>
      <c r="C23" s="6" t="s">
        <v>54</v>
      </c>
      <c r="D23" s="6" t="s">
        <v>55</v>
      </c>
      <c r="E23" s="6" t="s">
        <v>52</v>
      </c>
      <c r="F23" s="13"/>
      <c r="G23" s="14" t="s">
        <v>30</v>
      </c>
      <c r="H23" s="13"/>
      <c r="I23" s="13"/>
      <c r="J23" s="13"/>
      <c r="K23" s="13"/>
      <c r="L23" s="13"/>
      <c r="M23" s="13" t="s">
        <v>56</v>
      </c>
    </row>
    <row r="24" spans="1:13" ht="32.1" customHeight="1" x14ac:dyDescent="0.2">
      <c r="A24" s="12" t="str">
        <f>$C$4&amp;"-"&amp;TEXT(COUNTA($D$12:D24),"00")</f>
        <v>TC-09</v>
      </c>
      <c r="B24" s="6" t="s">
        <v>57</v>
      </c>
      <c r="C24" s="6" t="s">
        <v>58</v>
      </c>
      <c r="D24" s="6" t="s">
        <v>59</v>
      </c>
      <c r="E24" s="6" t="s">
        <v>60</v>
      </c>
      <c r="F24" s="13"/>
      <c r="G24" s="14" t="s">
        <v>30</v>
      </c>
      <c r="H24" s="13"/>
      <c r="I24" s="13"/>
      <c r="J24" s="13"/>
      <c r="K24" s="13"/>
      <c r="L24" s="13"/>
      <c r="M24" s="13" t="s">
        <v>61</v>
      </c>
    </row>
    <row r="25" spans="1:13" ht="63.95" customHeight="1" x14ac:dyDescent="0.2">
      <c r="A25" s="12" t="str">
        <f>$C$4&amp;"-"&amp;TEXT(COUNTA($D$12:D25),"00")</f>
        <v>TC-10</v>
      </c>
      <c r="B25" s="18" t="s">
        <v>62</v>
      </c>
      <c r="C25" s="6" t="s">
        <v>63</v>
      </c>
      <c r="D25" s="6" t="s">
        <v>64</v>
      </c>
      <c r="E25" s="6" t="s">
        <v>65</v>
      </c>
      <c r="F25" s="13"/>
      <c r="G25" s="14" t="s">
        <v>30</v>
      </c>
      <c r="H25" s="13"/>
      <c r="I25" s="13"/>
      <c r="J25" s="13"/>
      <c r="K25" s="13"/>
      <c r="L25" s="13"/>
      <c r="M25" s="13" t="s">
        <v>66</v>
      </c>
    </row>
    <row r="26" spans="1:13" ht="48" customHeight="1" x14ac:dyDescent="0.2">
      <c r="A26" s="12" t="str">
        <f>$C$4&amp;"-"&amp;TEXT(COUNTA($D$12:D26),"00")</f>
        <v>TC-11</v>
      </c>
      <c r="B26" s="26"/>
      <c r="C26" s="6" t="s">
        <v>67</v>
      </c>
      <c r="D26" s="6" t="s">
        <v>68</v>
      </c>
      <c r="E26" s="6" t="s">
        <v>69</v>
      </c>
      <c r="F26" s="13"/>
      <c r="G26" s="14" t="s">
        <v>30</v>
      </c>
      <c r="H26" s="13"/>
      <c r="I26" s="13"/>
      <c r="J26" s="13"/>
      <c r="K26" s="13"/>
      <c r="L26" s="13"/>
      <c r="M26" s="13" t="s">
        <v>70</v>
      </c>
    </row>
    <row r="27" spans="1:13" ht="48" customHeight="1" x14ac:dyDescent="0.2">
      <c r="A27" s="12" t="str">
        <f>$C$4&amp;"-"&amp;TEXT(COUNTA($D$12:D27),"00")</f>
        <v>TC-12</v>
      </c>
      <c r="B27" s="26"/>
      <c r="C27" s="6" t="s">
        <v>71</v>
      </c>
      <c r="D27" s="6" t="s">
        <v>72</v>
      </c>
      <c r="E27" s="6" t="s">
        <v>73</v>
      </c>
      <c r="F27" s="13"/>
      <c r="G27" s="14" t="s">
        <v>30</v>
      </c>
      <c r="H27" s="13"/>
      <c r="I27" s="13"/>
      <c r="J27" s="13"/>
      <c r="K27" s="13"/>
      <c r="L27" s="13"/>
      <c r="M27" s="13" t="s">
        <v>70</v>
      </c>
    </row>
    <row r="28" spans="1:13" ht="48" customHeight="1" x14ac:dyDescent="0.2">
      <c r="A28" s="12" t="str">
        <f>$C$4&amp;"-"&amp;TEXT(COUNTA($D$12:D28),"00")</f>
        <v>TC-13</v>
      </c>
      <c r="B28" s="26"/>
      <c r="C28" s="6" t="s">
        <v>74</v>
      </c>
      <c r="D28" s="6" t="s">
        <v>75</v>
      </c>
      <c r="E28" s="6" t="s">
        <v>76</v>
      </c>
      <c r="F28" s="13"/>
      <c r="G28" s="14" t="s">
        <v>30</v>
      </c>
      <c r="H28" s="13"/>
      <c r="I28" s="13"/>
      <c r="J28" s="13"/>
      <c r="K28" s="13"/>
      <c r="L28" s="13"/>
      <c r="M28" s="13" t="s">
        <v>70</v>
      </c>
    </row>
    <row r="29" spans="1:13" ht="63.95" customHeight="1" x14ac:dyDescent="0.2">
      <c r="A29" s="12" t="str">
        <f>$C$4&amp;"-"&amp;TEXT(COUNTA($D$12:D29),"00")</f>
        <v>TC-14</v>
      </c>
      <c r="B29" s="19"/>
      <c r="C29" s="6" t="s">
        <v>77</v>
      </c>
      <c r="D29" s="6" t="s">
        <v>78</v>
      </c>
      <c r="E29" s="6" t="s">
        <v>79</v>
      </c>
      <c r="F29" s="13"/>
      <c r="G29" s="14" t="s">
        <v>30</v>
      </c>
      <c r="H29" s="13"/>
      <c r="I29" s="13"/>
      <c r="J29" s="13"/>
      <c r="K29" s="13"/>
      <c r="L29" s="13"/>
      <c r="M29" s="13" t="s">
        <v>80</v>
      </c>
    </row>
    <row r="30" spans="1:13" ht="48" customHeight="1" x14ac:dyDescent="0.2">
      <c r="A30" s="12" t="str">
        <f>$C$4&amp;"-"&amp;TEXT(COUNTA($D$12:D30),"00")</f>
        <v>TC-15</v>
      </c>
      <c r="B30" s="18" t="s">
        <v>81</v>
      </c>
      <c r="C30" s="6" t="s">
        <v>82</v>
      </c>
      <c r="D30" s="6" t="s">
        <v>83</v>
      </c>
      <c r="E30" s="6" t="s">
        <v>84</v>
      </c>
      <c r="F30" s="13"/>
      <c r="G30" s="14" t="s">
        <v>30</v>
      </c>
      <c r="H30" s="13"/>
      <c r="I30" s="13"/>
      <c r="J30" s="13"/>
      <c r="K30" s="13"/>
      <c r="L30" s="13"/>
      <c r="M30" s="13" t="s">
        <v>85</v>
      </c>
    </row>
    <row r="31" spans="1:13" ht="32.1" customHeight="1" x14ac:dyDescent="0.2">
      <c r="A31" s="12" t="str">
        <f>$C$4&amp;"-"&amp;TEXT(COUNTA($D$12:D31),"00")</f>
        <v>TC-16</v>
      </c>
      <c r="B31" s="19"/>
      <c r="C31" s="6" t="s">
        <v>86</v>
      </c>
      <c r="D31" s="6" t="s">
        <v>87</v>
      </c>
      <c r="E31" s="6" t="s">
        <v>88</v>
      </c>
      <c r="F31" s="13"/>
      <c r="G31" s="14" t="s">
        <v>30</v>
      </c>
      <c r="H31" s="13"/>
      <c r="I31" s="13"/>
      <c r="J31" s="13"/>
      <c r="K31" s="13"/>
      <c r="L31" s="13"/>
      <c r="M31" s="13" t="s">
        <v>89</v>
      </c>
    </row>
    <row r="32" spans="1:13" ht="128.1" customHeight="1" x14ac:dyDescent="0.2">
      <c r="A32" s="12" t="str">
        <f>$C$4&amp;"-"&amp;TEXT(COUNTA($D$12:D32),"00")</f>
        <v>TC-17</v>
      </c>
      <c r="B32" s="18" t="s">
        <v>90</v>
      </c>
      <c r="C32" s="6" t="s">
        <v>91</v>
      </c>
      <c r="D32" s="6" t="s">
        <v>92</v>
      </c>
      <c r="E32" s="6" t="s">
        <v>93</v>
      </c>
      <c r="F32" s="13"/>
      <c r="G32" s="14" t="s">
        <v>30</v>
      </c>
      <c r="H32" s="13"/>
      <c r="I32" s="13"/>
      <c r="J32" s="13"/>
      <c r="K32" s="13"/>
      <c r="L32" s="13"/>
      <c r="M32" s="13" t="s">
        <v>94</v>
      </c>
    </row>
    <row r="33" spans="1:13" ht="48" customHeight="1" x14ac:dyDescent="0.2">
      <c r="A33" s="12" t="str">
        <f>$C$4&amp;"-"&amp;TEXT(COUNTA($D$12:D33),"00")</f>
        <v>TC-18</v>
      </c>
      <c r="B33" s="26"/>
      <c r="C33" s="6" t="s">
        <v>95</v>
      </c>
      <c r="D33" s="6" t="s">
        <v>96</v>
      </c>
      <c r="E33" s="6" t="s">
        <v>97</v>
      </c>
      <c r="F33" s="13"/>
      <c r="G33" s="14" t="s">
        <v>30</v>
      </c>
      <c r="H33" s="13"/>
      <c r="I33" s="13"/>
      <c r="J33" s="13"/>
      <c r="K33" s="13"/>
      <c r="L33" s="13"/>
      <c r="M33" s="13" t="s">
        <v>98</v>
      </c>
    </row>
    <row r="34" spans="1:13" ht="63.95" customHeight="1" x14ac:dyDescent="0.2">
      <c r="A34" s="12" t="str">
        <f>$C$4&amp;"-"&amp;TEXT(COUNTA($D$12:D34),"00")</f>
        <v>TC-19</v>
      </c>
      <c r="B34" s="19"/>
      <c r="C34" s="6" t="s">
        <v>99</v>
      </c>
      <c r="D34" s="6" t="s">
        <v>100</v>
      </c>
      <c r="E34" s="6" t="s">
        <v>101</v>
      </c>
      <c r="F34" s="13"/>
      <c r="G34" s="14" t="s">
        <v>30</v>
      </c>
      <c r="H34" s="13"/>
      <c r="I34" s="13"/>
      <c r="J34" s="13"/>
      <c r="K34" s="13"/>
      <c r="L34" s="13"/>
      <c r="M34" s="13" t="s">
        <v>102</v>
      </c>
    </row>
    <row r="35" spans="1:13" ht="80.099999999999994" customHeight="1" x14ac:dyDescent="0.2">
      <c r="A35" s="12" t="str">
        <f>$C$4&amp;"-"&amp;TEXT(COUNTA($D$12:D35),"00")</f>
        <v>TC-20</v>
      </c>
      <c r="B35" s="18" t="s">
        <v>103</v>
      </c>
      <c r="C35" s="6" t="s">
        <v>104</v>
      </c>
      <c r="D35" s="6" t="s">
        <v>105</v>
      </c>
      <c r="E35" s="6" t="s">
        <v>106</v>
      </c>
      <c r="F35" s="13"/>
      <c r="G35" s="14" t="s">
        <v>30</v>
      </c>
      <c r="H35" s="13"/>
      <c r="I35" s="13"/>
      <c r="J35" s="13"/>
      <c r="K35" s="13"/>
      <c r="L35" s="13"/>
      <c r="M35" s="13" t="s">
        <v>107</v>
      </c>
    </row>
    <row r="36" spans="1:13" ht="48" customHeight="1" x14ac:dyDescent="0.2">
      <c r="A36" s="12" t="str">
        <f>$C$4&amp;"-"&amp;TEXT(COUNTA($D$12:D36),"00")</f>
        <v>TC-21</v>
      </c>
      <c r="B36" s="26"/>
      <c r="C36" s="6" t="s">
        <v>108</v>
      </c>
      <c r="D36" s="6" t="s">
        <v>109</v>
      </c>
      <c r="E36" s="6" t="s">
        <v>110</v>
      </c>
      <c r="F36" s="13"/>
      <c r="G36" s="14" t="s">
        <v>30</v>
      </c>
      <c r="H36" s="13"/>
      <c r="I36" s="13"/>
      <c r="J36" s="13"/>
      <c r="K36" s="13"/>
      <c r="L36" s="13"/>
      <c r="M36" s="13" t="s">
        <v>111</v>
      </c>
    </row>
    <row r="37" spans="1:13" ht="48" customHeight="1" x14ac:dyDescent="0.2">
      <c r="A37" s="12" t="str">
        <f>$C$4&amp;"-"&amp;TEXT(COUNTA($D$12:D37),"00")</f>
        <v>TC-22</v>
      </c>
      <c r="B37" s="26"/>
      <c r="C37" s="6" t="s">
        <v>112</v>
      </c>
      <c r="D37" s="6" t="s">
        <v>113</v>
      </c>
      <c r="E37" s="6" t="s">
        <v>110</v>
      </c>
      <c r="F37" s="13"/>
      <c r="G37" s="14" t="s">
        <v>30</v>
      </c>
      <c r="H37" s="13"/>
      <c r="I37" s="13"/>
      <c r="J37" s="13"/>
      <c r="K37" s="13"/>
      <c r="L37" s="13"/>
      <c r="M37" s="13" t="s">
        <v>111</v>
      </c>
    </row>
    <row r="38" spans="1:13" ht="48" customHeight="1" x14ac:dyDescent="0.2">
      <c r="A38" s="12" t="str">
        <f>$C$4&amp;"-"&amp;TEXT(COUNTA($D$12:D38),"00")</f>
        <v>TC-23</v>
      </c>
      <c r="B38" s="26"/>
      <c r="C38" s="6" t="s">
        <v>114</v>
      </c>
      <c r="D38" s="6" t="s">
        <v>115</v>
      </c>
      <c r="E38" s="6" t="s">
        <v>110</v>
      </c>
      <c r="F38" s="13"/>
      <c r="G38" s="14" t="s">
        <v>30</v>
      </c>
      <c r="H38" s="13"/>
      <c r="I38" s="13"/>
      <c r="J38" s="13"/>
      <c r="K38" s="13"/>
      <c r="L38" s="13"/>
      <c r="M38" s="13" t="s">
        <v>111</v>
      </c>
    </row>
    <row r="39" spans="1:13" ht="32.1" customHeight="1" x14ac:dyDescent="0.2">
      <c r="A39" s="12" t="str">
        <f>$C$4&amp;"-"&amp;TEXT(COUNTA($D$12:D39),"00")</f>
        <v>TC-24</v>
      </c>
      <c r="B39" s="19"/>
      <c r="C39" s="6" t="s">
        <v>116</v>
      </c>
      <c r="D39" s="6" t="s">
        <v>117</v>
      </c>
      <c r="E39" s="6" t="s">
        <v>118</v>
      </c>
      <c r="F39" s="13"/>
      <c r="G39" s="14" t="s">
        <v>30</v>
      </c>
      <c r="H39" s="13"/>
      <c r="I39" s="13"/>
      <c r="J39" s="13"/>
      <c r="K39" s="13"/>
      <c r="L39" s="13"/>
      <c r="M39" s="13" t="s">
        <v>119</v>
      </c>
    </row>
    <row r="40" spans="1:13" ht="20.100000000000001" customHeight="1" x14ac:dyDescent="0.2">
      <c r="A40" s="29" t="s">
        <v>120</v>
      </c>
      <c r="B40" s="23"/>
      <c r="C40" s="23"/>
      <c r="D40" s="23"/>
      <c r="E40" s="23"/>
      <c r="F40" s="23"/>
      <c r="G40" s="23"/>
      <c r="H40" s="23"/>
      <c r="I40" s="23"/>
      <c r="J40" s="23"/>
      <c r="K40" s="24"/>
      <c r="L40" s="13"/>
      <c r="M40" s="13"/>
    </row>
    <row r="41" spans="1:13" ht="48" customHeight="1" x14ac:dyDescent="0.2">
      <c r="A41" s="12" t="str">
        <f>$C$4&amp;"-"&amp;TEXT(COUNTA($D$12:D41),"00")</f>
        <v>TC-25</v>
      </c>
      <c r="B41" s="18" t="s">
        <v>121</v>
      </c>
      <c r="C41" s="6" t="s">
        <v>122</v>
      </c>
      <c r="D41" s="6" t="s">
        <v>123</v>
      </c>
      <c r="E41" s="6" t="s">
        <v>124</v>
      </c>
      <c r="F41" s="13"/>
      <c r="G41" s="14" t="s">
        <v>30</v>
      </c>
      <c r="H41" s="13"/>
      <c r="I41" s="13"/>
      <c r="J41" s="13"/>
      <c r="K41" s="13"/>
      <c r="L41" s="13"/>
      <c r="M41" s="13" t="s">
        <v>125</v>
      </c>
    </row>
    <row r="42" spans="1:13" ht="48" customHeight="1" x14ac:dyDescent="0.2">
      <c r="A42" s="12" t="str">
        <f>$C$4&amp;"-"&amp;TEXT(COUNTA($D$12:D42),"00")</f>
        <v>TC-26</v>
      </c>
      <c r="B42" s="19"/>
      <c r="C42" s="6" t="s">
        <v>126</v>
      </c>
      <c r="D42" s="6" t="s">
        <v>127</v>
      </c>
      <c r="E42" s="6" t="s">
        <v>128</v>
      </c>
      <c r="F42" s="13"/>
      <c r="G42" s="14" t="s">
        <v>30</v>
      </c>
      <c r="H42" s="13"/>
      <c r="I42" s="13"/>
      <c r="J42" s="13"/>
      <c r="K42" s="13"/>
      <c r="L42" s="13"/>
      <c r="M42" s="13" t="s">
        <v>129</v>
      </c>
    </row>
    <row r="43" spans="1:13" ht="32.1" customHeight="1" x14ac:dyDescent="0.2">
      <c r="A43" s="12" t="str">
        <f>$C$4&amp;"-"&amp;TEXT(COUNTA($D$12:D43),"00")</f>
        <v>TC-27</v>
      </c>
      <c r="B43" s="6" t="s">
        <v>130</v>
      </c>
      <c r="C43" s="6" t="s">
        <v>131</v>
      </c>
      <c r="D43" s="6" t="s">
        <v>132</v>
      </c>
      <c r="E43" s="6" t="s">
        <v>133</v>
      </c>
      <c r="F43" s="13" t="s">
        <v>134</v>
      </c>
      <c r="G43" s="14" t="s">
        <v>30</v>
      </c>
      <c r="H43" s="13"/>
      <c r="I43" s="13"/>
      <c r="J43" s="13"/>
      <c r="K43" s="13"/>
      <c r="L43" s="13"/>
      <c r="M43" s="13" t="s">
        <v>135</v>
      </c>
    </row>
    <row r="44" spans="1:13" ht="48" customHeight="1" x14ac:dyDescent="0.2">
      <c r="A44" s="12" t="str">
        <f>$C$4&amp;"-"&amp;TEXT(COUNTA($D$12:D44),"00")</f>
        <v>TC-28</v>
      </c>
      <c r="B44" s="18" t="s">
        <v>136</v>
      </c>
      <c r="C44" s="6" t="s">
        <v>137</v>
      </c>
      <c r="D44" s="6" t="s">
        <v>138</v>
      </c>
      <c r="E44" s="6" t="s">
        <v>139</v>
      </c>
      <c r="F44" s="13" t="s">
        <v>140</v>
      </c>
      <c r="G44" s="14" t="s">
        <v>30</v>
      </c>
      <c r="H44" s="13"/>
      <c r="I44" s="13"/>
      <c r="J44" s="13"/>
      <c r="K44" s="13"/>
      <c r="L44" s="13"/>
      <c r="M44" s="13" t="s">
        <v>141</v>
      </c>
    </row>
    <row r="45" spans="1:13" ht="80.099999999999994" customHeight="1" x14ac:dyDescent="0.2">
      <c r="A45" s="12" t="str">
        <f>$C$4&amp;"-"&amp;TEXT(COUNTA($D$12:D45),"00")</f>
        <v>TC-29</v>
      </c>
      <c r="B45" s="19"/>
      <c r="C45" s="6" t="s">
        <v>142</v>
      </c>
      <c r="D45" s="6" t="s">
        <v>143</v>
      </c>
      <c r="E45" s="6" t="s">
        <v>144</v>
      </c>
      <c r="F45" s="13"/>
      <c r="G45" s="14" t="s">
        <v>30</v>
      </c>
      <c r="H45" s="13"/>
      <c r="I45" s="13"/>
      <c r="J45" s="13"/>
      <c r="K45" s="13"/>
      <c r="L45" s="13"/>
      <c r="M45" s="13" t="s">
        <v>145</v>
      </c>
    </row>
    <row r="46" spans="1:13" ht="80.099999999999994" customHeight="1" x14ac:dyDescent="0.2">
      <c r="A46" s="12" t="str">
        <f>$C$4&amp;"-"&amp;TEXT(COUNTA($D$12:D46),"00")</f>
        <v>TC-30</v>
      </c>
      <c r="B46" s="18" t="s">
        <v>146</v>
      </c>
      <c r="C46" s="6" t="s">
        <v>147</v>
      </c>
      <c r="D46" s="6" t="s">
        <v>148</v>
      </c>
      <c r="E46" s="6" t="s">
        <v>149</v>
      </c>
      <c r="F46" s="13" t="s">
        <v>150</v>
      </c>
      <c r="G46" s="14" t="s">
        <v>30</v>
      </c>
      <c r="H46" s="13"/>
      <c r="I46" s="13"/>
      <c r="J46" s="13"/>
      <c r="K46" s="13"/>
      <c r="L46" s="13"/>
      <c r="M46" s="13" t="s">
        <v>151</v>
      </c>
    </row>
    <row r="47" spans="1:13" ht="48" customHeight="1" x14ac:dyDescent="0.2">
      <c r="A47" s="12" t="str">
        <f>$C$4&amp;"-"&amp;TEXT(COUNTA($D$12:D47),"00")</f>
        <v>TC-31</v>
      </c>
      <c r="B47" s="19"/>
      <c r="C47" s="6" t="s">
        <v>152</v>
      </c>
      <c r="D47" s="6" t="s">
        <v>153</v>
      </c>
      <c r="E47" s="6" t="s">
        <v>154</v>
      </c>
      <c r="F47" s="13" t="s">
        <v>155</v>
      </c>
      <c r="G47" s="14" t="s">
        <v>30</v>
      </c>
      <c r="H47" s="13"/>
      <c r="I47" s="13"/>
      <c r="J47" s="13"/>
      <c r="K47" s="13"/>
      <c r="L47" s="13"/>
      <c r="M47" s="13" t="s">
        <v>156</v>
      </c>
    </row>
    <row r="48" spans="1:13" ht="32.1" customHeight="1" x14ac:dyDescent="0.2">
      <c r="A48" s="12" t="str">
        <f>$C$4&amp;"-"&amp;TEXT(COUNTA($D$12:D48),"00")</f>
        <v>TC-32</v>
      </c>
      <c r="B48" s="18" t="s">
        <v>157</v>
      </c>
      <c r="C48" s="6" t="s">
        <v>158</v>
      </c>
      <c r="D48" s="6" t="s">
        <v>159</v>
      </c>
      <c r="E48" s="6" t="s">
        <v>160</v>
      </c>
      <c r="F48" s="13" t="s">
        <v>161</v>
      </c>
      <c r="G48" s="14" t="s">
        <v>30</v>
      </c>
      <c r="H48" s="13"/>
      <c r="I48" s="13"/>
      <c r="J48" s="13"/>
      <c r="K48" s="13"/>
      <c r="L48" s="13"/>
      <c r="M48" s="13" t="s">
        <v>162</v>
      </c>
    </row>
    <row r="49" spans="1:13" ht="48" customHeight="1" x14ac:dyDescent="0.2">
      <c r="A49" s="12" t="str">
        <f>$C$4&amp;"-"&amp;TEXT(COUNTA($D$12:D49),"00")</f>
        <v>TC-33</v>
      </c>
      <c r="B49" s="19"/>
      <c r="C49" s="6" t="s">
        <v>163</v>
      </c>
      <c r="D49" s="6" t="s">
        <v>164</v>
      </c>
      <c r="E49" s="6" t="s">
        <v>165</v>
      </c>
      <c r="F49" s="13"/>
      <c r="G49" s="14" t="s">
        <v>30</v>
      </c>
      <c r="H49" s="13"/>
      <c r="I49" s="13"/>
      <c r="J49" s="13"/>
      <c r="K49" s="13"/>
      <c r="L49" s="13"/>
      <c r="M49" s="13" t="s">
        <v>166</v>
      </c>
    </row>
    <row r="50" spans="1:13" ht="32.1" customHeight="1" x14ac:dyDescent="0.2">
      <c r="A50" s="12" t="str">
        <f>$C$4&amp;"-"&amp;TEXT(COUNTA($D$12:D50),"00")</f>
        <v>TC-34</v>
      </c>
      <c r="B50" s="18" t="s">
        <v>167</v>
      </c>
      <c r="C50" s="6" t="s">
        <v>168</v>
      </c>
      <c r="D50" s="6" t="s">
        <v>169</v>
      </c>
      <c r="E50" s="6" t="s">
        <v>170</v>
      </c>
      <c r="F50" s="13" t="s">
        <v>171</v>
      </c>
      <c r="G50" s="14" t="s">
        <v>30</v>
      </c>
      <c r="H50" s="13"/>
      <c r="I50" s="13"/>
      <c r="J50" s="13"/>
      <c r="K50" s="13"/>
      <c r="L50" s="13"/>
      <c r="M50" s="13" t="s">
        <v>172</v>
      </c>
    </row>
    <row r="51" spans="1:13" ht="48" customHeight="1" x14ac:dyDescent="0.2">
      <c r="A51" s="12" t="str">
        <f>$C$4&amp;"-"&amp;TEXT(COUNTA($D$12:D51),"00")</f>
        <v>TC-35</v>
      </c>
      <c r="B51" s="19"/>
      <c r="C51" s="6" t="s">
        <v>173</v>
      </c>
      <c r="D51" s="6" t="s">
        <v>174</v>
      </c>
      <c r="E51" s="6" t="s">
        <v>175</v>
      </c>
      <c r="F51" s="13"/>
      <c r="G51" s="14" t="s">
        <v>30</v>
      </c>
      <c r="H51" s="13"/>
      <c r="I51" s="13"/>
      <c r="J51" s="13"/>
      <c r="K51" s="13"/>
      <c r="L51" s="13"/>
      <c r="M51" s="13" t="s">
        <v>176</v>
      </c>
    </row>
    <row r="52" spans="1:13" ht="32.1" customHeight="1" x14ac:dyDescent="0.2">
      <c r="A52" s="12" t="str">
        <f>$C$4&amp;"-"&amp;TEXT(COUNTA($D$12:D52),"00")</f>
        <v>TC-36</v>
      </c>
      <c r="B52" s="6" t="s">
        <v>177</v>
      </c>
      <c r="C52" s="6" t="s">
        <v>178</v>
      </c>
      <c r="D52" s="6" t="s">
        <v>179</v>
      </c>
      <c r="E52" s="6" t="s">
        <v>180</v>
      </c>
      <c r="F52" s="13"/>
      <c r="G52" s="14" t="s">
        <v>30</v>
      </c>
      <c r="H52" s="13"/>
      <c r="I52" s="13"/>
      <c r="J52" s="13"/>
      <c r="K52" s="13"/>
      <c r="L52" s="13"/>
      <c r="M52" s="13" t="s">
        <v>181</v>
      </c>
    </row>
    <row r="53" spans="1:13" ht="32.1" customHeight="1" x14ac:dyDescent="0.2">
      <c r="A53" s="12" t="str">
        <f>$C$4&amp;"-"&amp;TEXT(COUNTA($D$12:D53),"00")</f>
        <v>TC-37</v>
      </c>
      <c r="B53" s="6" t="s">
        <v>182</v>
      </c>
      <c r="C53" s="6" t="s">
        <v>183</v>
      </c>
      <c r="D53" s="6" t="s">
        <v>184</v>
      </c>
      <c r="E53" s="6" t="s">
        <v>185</v>
      </c>
      <c r="F53" s="13"/>
      <c r="G53" s="14" t="s">
        <v>30</v>
      </c>
      <c r="H53" s="13"/>
      <c r="I53" s="13"/>
      <c r="J53" s="13"/>
      <c r="K53" s="13"/>
      <c r="L53" s="13"/>
      <c r="M53" s="13" t="s">
        <v>186</v>
      </c>
    </row>
    <row r="54" spans="1:13" ht="63.95" customHeight="1" x14ac:dyDescent="0.2">
      <c r="A54" s="12" t="str">
        <f>$C$4&amp;"-"&amp;TEXT(COUNTA($D$12:D54),"00")</f>
        <v>TC-38</v>
      </c>
      <c r="B54" s="18" t="s">
        <v>187</v>
      </c>
      <c r="C54" s="6" t="s">
        <v>188</v>
      </c>
      <c r="D54" s="6" t="s">
        <v>189</v>
      </c>
      <c r="E54" s="6" t="s">
        <v>190</v>
      </c>
      <c r="F54" s="13"/>
      <c r="G54" s="14" t="s">
        <v>30</v>
      </c>
      <c r="H54" s="13"/>
      <c r="I54" s="13"/>
      <c r="J54" s="13"/>
      <c r="K54" s="13"/>
      <c r="L54" s="13"/>
      <c r="M54" s="13" t="s">
        <v>191</v>
      </c>
    </row>
    <row r="55" spans="1:13" ht="32.1" customHeight="1" x14ac:dyDescent="0.2">
      <c r="A55" s="12" t="str">
        <f>$C$4&amp;"-"&amp;TEXT(COUNTA($D$12:D55),"00")</f>
        <v>TC-39</v>
      </c>
      <c r="B55" s="19"/>
      <c r="C55" s="6" t="s">
        <v>192</v>
      </c>
      <c r="D55" s="6" t="s">
        <v>193</v>
      </c>
      <c r="E55" s="6" t="s">
        <v>194</v>
      </c>
      <c r="F55" s="13"/>
      <c r="G55" s="14" t="s">
        <v>30</v>
      </c>
      <c r="H55" s="13"/>
      <c r="I55" s="13"/>
      <c r="J55" s="13"/>
      <c r="K55" s="13"/>
      <c r="L55" s="13"/>
      <c r="M55" s="13" t="s">
        <v>195</v>
      </c>
    </row>
    <row r="56" spans="1:13" ht="20.100000000000001" customHeight="1" x14ac:dyDescent="0.2">
      <c r="A56" s="29" t="s">
        <v>196</v>
      </c>
      <c r="B56" s="23"/>
      <c r="C56" s="23"/>
      <c r="D56" s="23"/>
      <c r="E56" s="23"/>
      <c r="F56" s="23"/>
      <c r="G56" s="23"/>
      <c r="H56" s="23"/>
      <c r="I56" s="23"/>
      <c r="J56" s="23"/>
      <c r="K56" s="24"/>
      <c r="L56" s="13"/>
      <c r="M56" s="13"/>
    </row>
    <row r="57" spans="1:13" ht="48" customHeight="1" x14ac:dyDescent="0.2">
      <c r="A57" s="12" t="str">
        <f>$C$4&amp;"-"&amp;TEXT(COUNTA($D$12:D57),"00")</f>
        <v>TC-40</v>
      </c>
      <c r="B57" s="18" t="s">
        <v>197</v>
      </c>
      <c r="C57" s="6" t="s">
        <v>198</v>
      </c>
      <c r="D57" s="6" t="s">
        <v>199</v>
      </c>
      <c r="E57" s="6" t="s">
        <v>200</v>
      </c>
      <c r="F57" s="13"/>
      <c r="G57" s="14" t="s">
        <v>30</v>
      </c>
      <c r="H57" s="13"/>
      <c r="I57" s="13"/>
      <c r="J57" s="13"/>
      <c r="K57" s="13"/>
      <c r="L57" s="13"/>
      <c r="M57" s="13" t="s">
        <v>201</v>
      </c>
    </row>
    <row r="58" spans="1:13" ht="48" customHeight="1" x14ac:dyDescent="0.2">
      <c r="A58" s="12" t="str">
        <f>$C$4&amp;"-"&amp;TEXT(COUNTA($D$12:D58),"00")</f>
        <v>TC-41</v>
      </c>
      <c r="B58" s="19"/>
      <c r="C58" s="6" t="s">
        <v>202</v>
      </c>
      <c r="D58" s="6" t="s">
        <v>203</v>
      </c>
      <c r="E58" s="6" t="s">
        <v>204</v>
      </c>
      <c r="F58" s="13"/>
      <c r="G58" s="14" t="s">
        <v>30</v>
      </c>
      <c r="H58" s="13"/>
      <c r="I58" s="13"/>
      <c r="J58" s="13"/>
      <c r="K58" s="13"/>
      <c r="L58" s="13"/>
      <c r="M58" s="13" t="s">
        <v>201</v>
      </c>
    </row>
    <row r="59" spans="1:13" ht="48" customHeight="1" x14ac:dyDescent="0.2">
      <c r="A59" s="12" t="str">
        <f>$C$4&amp;"-"&amp;TEXT(COUNTA($D$12:D59),"00")</f>
        <v>TC-42</v>
      </c>
      <c r="B59" s="18" t="s">
        <v>205</v>
      </c>
      <c r="C59" s="6" t="s">
        <v>206</v>
      </c>
      <c r="D59" s="6" t="s">
        <v>207</v>
      </c>
      <c r="E59" s="6" t="s">
        <v>208</v>
      </c>
      <c r="F59" s="13"/>
      <c r="G59" s="14" t="s">
        <v>30</v>
      </c>
      <c r="H59" s="13"/>
      <c r="I59" s="13"/>
      <c r="J59" s="13"/>
      <c r="K59" s="13"/>
      <c r="L59" s="13"/>
      <c r="M59" s="13" t="s">
        <v>209</v>
      </c>
    </row>
    <row r="60" spans="1:13" ht="48" customHeight="1" x14ac:dyDescent="0.2">
      <c r="A60" s="12" t="str">
        <f>$C$4&amp;"-"&amp;TEXT(COUNTA($D$12:D60),"00")</f>
        <v>TC-43</v>
      </c>
      <c r="B60" s="19"/>
      <c r="C60" s="6" t="s">
        <v>210</v>
      </c>
      <c r="D60" s="6" t="s">
        <v>211</v>
      </c>
      <c r="E60" s="6" t="s">
        <v>212</v>
      </c>
      <c r="F60" s="13"/>
      <c r="G60" s="14" t="s">
        <v>30</v>
      </c>
      <c r="H60" s="13"/>
      <c r="I60" s="13"/>
      <c r="J60" s="13"/>
      <c r="K60" s="13"/>
      <c r="L60" s="13"/>
      <c r="M60" s="13" t="s">
        <v>209</v>
      </c>
    </row>
    <row r="61" spans="1:13" ht="63.95" customHeight="1" x14ac:dyDescent="0.2">
      <c r="A61" s="12" t="str">
        <f>$C$4&amp;"-"&amp;TEXT(COUNTA($D$12:D61),"00")</f>
        <v>TC-44</v>
      </c>
      <c r="B61" s="18" t="s">
        <v>213</v>
      </c>
      <c r="C61" s="6" t="s">
        <v>214</v>
      </c>
      <c r="D61" s="6" t="s">
        <v>215</v>
      </c>
      <c r="E61" s="6" t="s">
        <v>216</v>
      </c>
      <c r="F61" s="13"/>
      <c r="G61" s="14" t="s">
        <v>30</v>
      </c>
      <c r="H61" s="13"/>
      <c r="I61" s="13"/>
      <c r="J61" s="13"/>
      <c r="K61" s="13"/>
      <c r="L61" s="13"/>
      <c r="M61" s="13" t="s">
        <v>217</v>
      </c>
    </row>
    <row r="62" spans="1:13" ht="63.95" customHeight="1" x14ac:dyDescent="0.2">
      <c r="A62" s="12" t="str">
        <f>$C$4&amp;"-"&amp;TEXT(COUNTA($D$12:D62),"00")</f>
        <v>TC-45</v>
      </c>
      <c r="B62" s="19"/>
      <c r="C62" s="6" t="s">
        <v>218</v>
      </c>
      <c r="D62" s="6" t="s">
        <v>219</v>
      </c>
      <c r="E62" s="6" t="s">
        <v>220</v>
      </c>
      <c r="F62" s="13"/>
      <c r="G62" s="14" t="s">
        <v>30</v>
      </c>
      <c r="H62" s="13"/>
      <c r="I62" s="13"/>
      <c r="J62" s="13"/>
      <c r="K62" s="13"/>
      <c r="L62" s="13"/>
      <c r="M62" s="13" t="s">
        <v>221</v>
      </c>
    </row>
    <row r="63" spans="1:13" ht="63.95" customHeight="1" x14ac:dyDescent="0.2">
      <c r="A63" s="12" t="str">
        <f>$C$4&amp;"-"&amp;TEXT(COUNTA($D$12:D63),"00")</f>
        <v>TC-46</v>
      </c>
      <c r="B63" s="6" t="s">
        <v>222</v>
      </c>
      <c r="C63" s="6" t="s">
        <v>223</v>
      </c>
      <c r="D63" s="6" t="s">
        <v>224</v>
      </c>
      <c r="E63" s="6" t="s">
        <v>225</v>
      </c>
      <c r="F63" s="13" t="s">
        <v>226</v>
      </c>
      <c r="G63" s="14" t="s">
        <v>30</v>
      </c>
      <c r="H63" s="13"/>
      <c r="I63" s="13"/>
      <c r="J63" s="13"/>
      <c r="K63" s="13"/>
      <c r="L63" s="13"/>
      <c r="M63" s="13" t="s">
        <v>227</v>
      </c>
    </row>
    <row r="64" spans="1:13" ht="80.099999999999994" customHeight="1" x14ac:dyDescent="0.2">
      <c r="A64" s="12" t="str">
        <f>$C$4&amp;"-"&amp;TEXT(COUNTA($D$12:D64),"00")</f>
        <v>TC-47</v>
      </c>
      <c r="B64" s="6" t="s">
        <v>228</v>
      </c>
      <c r="C64" s="6" t="s">
        <v>229</v>
      </c>
      <c r="D64" s="6" t="s">
        <v>230</v>
      </c>
      <c r="E64" s="6" t="s">
        <v>231</v>
      </c>
      <c r="F64" s="13"/>
      <c r="G64" s="14" t="s">
        <v>30</v>
      </c>
      <c r="H64" s="13"/>
      <c r="I64" s="13"/>
      <c r="J64" s="13"/>
      <c r="K64" s="13"/>
      <c r="L64" s="13"/>
      <c r="M64" s="13" t="s">
        <v>232</v>
      </c>
    </row>
    <row r="65" spans="1:13" ht="48" customHeight="1" x14ac:dyDescent="0.2">
      <c r="A65" s="12" t="str">
        <f>$C$4&amp;"-"&amp;TEXT(COUNTA($D$12:D65),"00")</f>
        <v>TC-48</v>
      </c>
      <c r="B65" s="18" t="s">
        <v>233</v>
      </c>
      <c r="C65" s="6" t="s">
        <v>234</v>
      </c>
      <c r="D65" s="6" t="s">
        <v>235</v>
      </c>
      <c r="E65" s="6" t="s">
        <v>236</v>
      </c>
      <c r="F65" s="13" t="s">
        <v>237</v>
      </c>
      <c r="G65" s="14" t="s">
        <v>30</v>
      </c>
      <c r="H65" s="13"/>
      <c r="I65" s="13"/>
      <c r="J65" s="13"/>
      <c r="K65" s="13"/>
      <c r="L65" s="13"/>
      <c r="M65" s="13" t="s">
        <v>70</v>
      </c>
    </row>
    <row r="66" spans="1:13" ht="80.099999999999994" customHeight="1" x14ac:dyDescent="0.2">
      <c r="A66" s="12" t="str">
        <f>$C$4&amp;"-"&amp;TEXT(COUNTA($D$12:D66),"00")</f>
        <v>TC-49</v>
      </c>
      <c r="B66" s="19"/>
      <c r="C66" s="6" t="s">
        <v>238</v>
      </c>
      <c r="D66" s="6" t="s">
        <v>239</v>
      </c>
      <c r="E66" s="6" t="s">
        <v>240</v>
      </c>
      <c r="F66" s="13" t="s">
        <v>241</v>
      </c>
      <c r="G66" s="14" t="s">
        <v>30</v>
      </c>
      <c r="H66" s="13"/>
      <c r="I66" s="13"/>
      <c r="J66" s="13"/>
      <c r="K66" s="13"/>
      <c r="L66" s="13"/>
      <c r="M66" s="13" t="s">
        <v>242</v>
      </c>
    </row>
    <row r="67" spans="1:13" ht="20.100000000000001" customHeight="1" x14ac:dyDescent="0.2">
      <c r="A67" s="29" t="s">
        <v>243</v>
      </c>
      <c r="B67" s="23"/>
      <c r="C67" s="23"/>
      <c r="D67" s="23"/>
      <c r="E67" s="23"/>
      <c r="F67" s="23"/>
      <c r="G67" s="23"/>
      <c r="H67" s="23"/>
      <c r="I67" s="23"/>
      <c r="J67" s="23"/>
      <c r="K67" s="24"/>
      <c r="L67" s="13"/>
      <c r="M67" s="13"/>
    </row>
    <row r="68" spans="1:13" ht="32.1" customHeight="1" x14ac:dyDescent="0.2">
      <c r="A68" s="12" t="str">
        <f>$C$4&amp;"-"&amp;TEXT(COUNTA($D$12:D68),"00")</f>
        <v>TC-50</v>
      </c>
      <c r="B68" s="6" t="s">
        <v>244</v>
      </c>
      <c r="C68" s="6" t="s">
        <v>245</v>
      </c>
      <c r="D68" s="6" t="s">
        <v>246</v>
      </c>
      <c r="E68" s="6" t="s">
        <v>247</v>
      </c>
      <c r="F68" s="13" t="s">
        <v>248</v>
      </c>
      <c r="G68" s="14" t="s">
        <v>30</v>
      </c>
      <c r="H68" s="13"/>
      <c r="I68" s="13"/>
      <c r="J68" s="13"/>
      <c r="K68" s="13"/>
      <c r="L68" s="13"/>
      <c r="M68" s="13" t="s">
        <v>249</v>
      </c>
    </row>
    <row r="69" spans="1:13" ht="80.099999999999994" customHeight="1" x14ac:dyDescent="0.2">
      <c r="A69" s="12" t="str">
        <f>$C$4&amp;"-"&amp;TEXT(COUNTA($D$12:D69),"00")</f>
        <v>TC-51</v>
      </c>
      <c r="B69" s="18" t="s">
        <v>250</v>
      </c>
      <c r="C69" s="6" t="s">
        <v>251</v>
      </c>
      <c r="D69" s="6" t="s">
        <v>252</v>
      </c>
      <c r="E69" s="6" t="s">
        <v>253</v>
      </c>
      <c r="F69" s="13"/>
      <c r="G69" s="14" t="s">
        <v>30</v>
      </c>
      <c r="H69" s="13"/>
      <c r="I69" s="13"/>
      <c r="J69" s="13"/>
      <c r="K69" s="13"/>
      <c r="L69" s="13"/>
      <c r="M69" s="13" t="s">
        <v>254</v>
      </c>
    </row>
    <row r="70" spans="1:13" ht="48" customHeight="1" x14ac:dyDescent="0.2">
      <c r="A70" s="12" t="str">
        <f>$C$4&amp;"-"&amp;TEXT(COUNTA($D$12:D70),"00")</f>
        <v>TC-52</v>
      </c>
      <c r="B70" s="19"/>
      <c r="C70" s="6" t="s">
        <v>255</v>
      </c>
      <c r="D70" s="6" t="s">
        <v>256</v>
      </c>
      <c r="E70" s="6" t="s">
        <v>257</v>
      </c>
      <c r="F70" s="13"/>
      <c r="G70" s="14" t="s">
        <v>30</v>
      </c>
      <c r="H70" s="13"/>
      <c r="I70" s="13"/>
      <c r="J70" s="13"/>
      <c r="K70" s="13"/>
      <c r="L70" s="13"/>
      <c r="M70" s="13" t="s">
        <v>258</v>
      </c>
    </row>
    <row r="71" spans="1:13" ht="32.1" customHeight="1" x14ac:dyDescent="0.2">
      <c r="A71" s="12" t="str">
        <f>$C$4&amp;"-"&amp;TEXT(COUNTA($D$12:D71),"00")</f>
        <v>TC-53</v>
      </c>
      <c r="B71" s="6" t="s">
        <v>259</v>
      </c>
      <c r="C71" s="6" t="s">
        <v>260</v>
      </c>
      <c r="D71" s="6" t="s">
        <v>261</v>
      </c>
      <c r="E71" s="6" t="s">
        <v>262</v>
      </c>
      <c r="F71" s="13"/>
      <c r="G71" s="14" t="s">
        <v>30</v>
      </c>
      <c r="H71" s="13"/>
      <c r="I71" s="13"/>
      <c r="J71" s="13"/>
      <c r="K71" s="13"/>
      <c r="L71" s="13"/>
      <c r="M71" s="13" t="s">
        <v>263</v>
      </c>
    </row>
    <row r="72" spans="1:13" ht="32.1" customHeight="1" x14ac:dyDescent="0.2">
      <c r="A72" s="12" t="str">
        <f>$C$4&amp;"-"&amp;TEXT(COUNTA($D$12:D72),"00")</f>
        <v>TC-54</v>
      </c>
      <c r="B72" s="6" t="s">
        <v>264</v>
      </c>
      <c r="C72" s="6" t="s">
        <v>265</v>
      </c>
      <c r="D72" s="6" t="s">
        <v>266</v>
      </c>
      <c r="E72" s="6" t="s">
        <v>267</v>
      </c>
      <c r="F72" s="13" t="s">
        <v>268</v>
      </c>
      <c r="G72" s="14" t="s">
        <v>30</v>
      </c>
      <c r="H72" s="13"/>
      <c r="I72" s="13"/>
      <c r="J72" s="13"/>
      <c r="K72" s="13"/>
      <c r="L72" s="13"/>
      <c r="M72" s="13" t="s">
        <v>269</v>
      </c>
    </row>
    <row r="73" spans="1:13" ht="32.1" customHeight="1" x14ac:dyDescent="0.2">
      <c r="A73" s="12" t="str">
        <f>$C$4&amp;"-"&amp;TEXT(COUNTA($D$12:D73),"00")</f>
        <v>TC-55</v>
      </c>
      <c r="B73" s="18" t="s">
        <v>270</v>
      </c>
      <c r="C73" s="6" t="s">
        <v>271</v>
      </c>
      <c r="D73" s="6" t="s">
        <v>272</v>
      </c>
      <c r="E73" s="6" t="s">
        <v>273</v>
      </c>
      <c r="F73" s="13" t="s">
        <v>274</v>
      </c>
      <c r="G73" s="14" t="s">
        <v>30</v>
      </c>
      <c r="H73" s="13"/>
      <c r="I73" s="13"/>
      <c r="J73" s="13"/>
      <c r="K73" s="13"/>
      <c r="L73" s="13"/>
      <c r="M73" s="13" t="s">
        <v>275</v>
      </c>
    </row>
    <row r="74" spans="1:13" ht="63.95" customHeight="1" x14ac:dyDescent="0.2">
      <c r="A74" s="12" t="str">
        <f>$C$4&amp;"-"&amp;TEXT(COUNTA($D$12:D74),"00")</f>
        <v>TC-56</v>
      </c>
      <c r="B74" s="19"/>
      <c r="C74" s="6" t="s">
        <v>276</v>
      </c>
      <c r="D74" s="6" t="s">
        <v>277</v>
      </c>
      <c r="E74" s="6" t="s">
        <v>278</v>
      </c>
      <c r="F74" s="13"/>
      <c r="G74" s="14" t="s">
        <v>30</v>
      </c>
      <c r="H74" s="13"/>
      <c r="I74" s="13"/>
      <c r="J74" s="13"/>
      <c r="K74" s="13"/>
      <c r="L74" s="13"/>
      <c r="M74" s="13" t="s">
        <v>279</v>
      </c>
    </row>
    <row r="75" spans="1:13" ht="32.1" customHeight="1" x14ac:dyDescent="0.2">
      <c r="A75" s="12" t="str">
        <f>$C$4&amp;"-"&amp;TEXT(COUNTA($D$12:D75),"00")</f>
        <v>TC-57</v>
      </c>
      <c r="B75" s="6" t="s">
        <v>280</v>
      </c>
      <c r="C75" s="6" t="s">
        <v>281</v>
      </c>
      <c r="D75" s="6" t="s">
        <v>282</v>
      </c>
      <c r="E75" s="6" t="s">
        <v>283</v>
      </c>
      <c r="F75" s="13" t="s">
        <v>284</v>
      </c>
      <c r="G75" s="14" t="s">
        <v>30</v>
      </c>
      <c r="H75" s="13"/>
      <c r="I75" s="13"/>
      <c r="J75" s="13"/>
      <c r="K75" s="13"/>
      <c r="L75" s="13"/>
      <c r="M75" s="13" t="s">
        <v>285</v>
      </c>
    </row>
    <row r="76" spans="1:13" ht="32.1" customHeight="1" x14ac:dyDescent="0.2">
      <c r="A76" s="12" t="str">
        <f>$C$4&amp;"-"&amp;TEXT(COUNTA($D$12:D76),"00")</f>
        <v>TC-58</v>
      </c>
      <c r="B76" s="18" t="s">
        <v>286</v>
      </c>
      <c r="C76" s="6" t="s">
        <v>287</v>
      </c>
      <c r="D76" s="6" t="s">
        <v>288</v>
      </c>
      <c r="E76" s="6" t="s">
        <v>289</v>
      </c>
      <c r="F76" s="13" t="s">
        <v>290</v>
      </c>
      <c r="G76" s="14" t="s">
        <v>30</v>
      </c>
      <c r="H76" s="13"/>
      <c r="I76" s="13"/>
      <c r="J76" s="13"/>
      <c r="K76" s="13"/>
      <c r="L76" s="13"/>
      <c r="M76" s="13" t="s">
        <v>291</v>
      </c>
    </row>
    <row r="77" spans="1:13" ht="32.1" customHeight="1" x14ac:dyDescent="0.2">
      <c r="A77" s="12" t="str">
        <f>$C$4&amp;"-"&amp;TEXT(COUNTA($D$12:D77),"00")</f>
        <v>TC-59</v>
      </c>
      <c r="B77" s="26"/>
      <c r="C77" s="6" t="s">
        <v>292</v>
      </c>
      <c r="D77" s="6" t="s">
        <v>293</v>
      </c>
      <c r="E77" s="6" t="s">
        <v>294</v>
      </c>
      <c r="F77" s="13"/>
      <c r="G77" s="14" t="s">
        <v>30</v>
      </c>
      <c r="H77" s="13"/>
      <c r="I77" s="13"/>
      <c r="J77" s="13"/>
      <c r="K77" s="13"/>
      <c r="L77" s="13"/>
      <c r="M77" s="13" t="s">
        <v>291</v>
      </c>
    </row>
    <row r="78" spans="1:13" ht="80.099999999999994" customHeight="1" x14ac:dyDescent="0.2">
      <c r="A78" s="12" t="str">
        <f>$C$4&amp;"-"&amp;TEXT(COUNTA($D$12:D78),"00")</f>
        <v>TC-60</v>
      </c>
      <c r="B78" s="26"/>
      <c r="C78" s="6" t="s">
        <v>295</v>
      </c>
      <c r="D78" s="6" t="s">
        <v>296</v>
      </c>
      <c r="E78" s="6" t="s">
        <v>297</v>
      </c>
      <c r="F78" s="13"/>
      <c r="G78" s="14" t="s">
        <v>30</v>
      </c>
      <c r="H78" s="13"/>
      <c r="I78" s="13"/>
      <c r="J78" s="13"/>
      <c r="K78" s="13"/>
      <c r="L78" s="13"/>
      <c r="M78" s="13" t="s">
        <v>298</v>
      </c>
    </row>
    <row r="79" spans="1:13" ht="32.1" customHeight="1" x14ac:dyDescent="0.2">
      <c r="A79" s="12" t="str">
        <f>$C$4&amp;"-"&amp;TEXT(COUNTA($D$12:D79),"00")</f>
        <v>TC-61</v>
      </c>
      <c r="B79" s="19"/>
      <c r="C79" s="6" t="s">
        <v>299</v>
      </c>
      <c r="D79" s="6" t="s">
        <v>300</v>
      </c>
      <c r="E79" s="6" t="s">
        <v>301</v>
      </c>
      <c r="F79" s="13"/>
      <c r="G79" s="14" t="s">
        <v>30</v>
      </c>
      <c r="H79" s="13"/>
      <c r="I79" s="13"/>
      <c r="J79" s="13"/>
      <c r="K79" s="13"/>
      <c r="L79" s="13"/>
      <c r="M79" s="13" t="s">
        <v>291</v>
      </c>
    </row>
    <row r="80" spans="1:13" ht="48" customHeight="1" x14ac:dyDescent="0.2">
      <c r="A80" s="12" t="str">
        <f>$C$4&amp;"-"&amp;TEXT(COUNTA($D$12:D80),"00")</f>
        <v>TC-62</v>
      </c>
      <c r="B80" s="18" t="s">
        <v>302</v>
      </c>
      <c r="C80" s="6" t="s">
        <v>303</v>
      </c>
      <c r="D80" s="6" t="s">
        <v>304</v>
      </c>
      <c r="E80" s="6" t="s">
        <v>305</v>
      </c>
      <c r="F80" s="13"/>
      <c r="G80" s="14" t="s">
        <v>30</v>
      </c>
      <c r="H80" s="13"/>
      <c r="I80" s="13"/>
      <c r="J80" s="13"/>
      <c r="K80" s="13"/>
      <c r="L80" s="13"/>
      <c r="M80" s="13" t="s">
        <v>306</v>
      </c>
    </row>
    <row r="81" spans="1:13" ht="48" customHeight="1" x14ac:dyDescent="0.2">
      <c r="A81" s="12" t="str">
        <f>$C$4&amp;"-"&amp;TEXT(COUNTA($D$12:D81),"00")</f>
        <v>TC-63</v>
      </c>
      <c r="B81" s="26"/>
      <c r="C81" s="6" t="s">
        <v>307</v>
      </c>
      <c r="D81" s="6" t="s">
        <v>308</v>
      </c>
      <c r="E81" s="6" t="s">
        <v>309</v>
      </c>
      <c r="F81" s="13"/>
      <c r="G81" s="14" t="s">
        <v>30</v>
      </c>
      <c r="H81" s="13"/>
      <c r="I81" s="13"/>
      <c r="J81" s="13"/>
      <c r="K81" s="13"/>
      <c r="L81" s="13"/>
      <c r="M81" s="13" t="s">
        <v>306</v>
      </c>
    </row>
    <row r="82" spans="1:13" ht="32.1" customHeight="1" x14ac:dyDescent="0.2">
      <c r="A82" s="12" t="str">
        <f>$C$4&amp;"-"&amp;TEXT(COUNTA($D$12:D82),"00")</f>
        <v>TC-64</v>
      </c>
      <c r="B82" s="19"/>
      <c r="C82" s="6" t="s">
        <v>310</v>
      </c>
      <c r="D82" s="6" t="s">
        <v>311</v>
      </c>
      <c r="E82" s="6" t="s">
        <v>312</v>
      </c>
      <c r="F82" s="13"/>
      <c r="G82" s="14" t="s">
        <v>30</v>
      </c>
      <c r="H82" s="13"/>
      <c r="I82" s="13"/>
      <c r="J82" s="13"/>
      <c r="K82" s="13"/>
      <c r="L82" s="13"/>
      <c r="M82" s="13" t="s">
        <v>313</v>
      </c>
    </row>
    <row r="83" spans="1:13" ht="48" customHeight="1" x14ac:dyDescent="0.2">
      <c r="A83" s="12" t="str">
        <f>$C$4&amp;"-"&amp;TEXT(COUNTA($D$12:D83),"00")</f>
        <v>TC-65</v>
      </c>
      <c r="B83" s="18" t="s">
        <v>314</v>
      </c>
      <c r="C83" s="6" t="s">
        <v>315</v>
      </c>
      <c r="D83" s="6" t="s">
        <v>316</v>
      </c>
      <c r="E83" s="6" t="s">
        <v>317</v>
      </c>
      <c r="F83" s="13"/>
      <c r="G83" s="14" t="s">
        <v>30</v>
      </c>
      <c r="H83" s="13"/>
      <c r="I83" s="13"/>
      <c r="J83" s="13"/>
      <c r="K83" s="13"/>
      <c r="L83" s="13"/>
      <c r="M83" s="13" t="s">
        <v>318</v>
      </c>
    </row>
    <row r="84" spans="1:13" ht="80.099999999999994" customHeight="1" x14ac:dyDescent="0.2">
      <c r="A84" s="12" t="str">
        <f>$C$4&amp;"-"&amp;TEXT(COUNTA($D$12:D84),"00")</f>
        <v>TC-66</v>
      </c>
      <c r="B84" s="19"/>
      <c r="C84" s="6" t="s">
        <v>319</v>
      </c>
      <c r="D84" s="6" t="s">
        <v>320</v>
      </c>
      <c r="E84" s="6" t="s">
        <v>321</v>
      </c>
      <c r="F84" s="13"/>
      <c r="G84" s="14" t="s">
        <v>30</v>
      </c>
      <c r="H84" s="13"/>
      <c r="I84" s="13"/>
      <c r="J84" s="13"/>
      <c r="K84" s="13"/>
      <c r="L84" s="13"/>
      <c r="M84" s="13" t="s">
        <v>322</v>
      </c>
    </row>
    <row r="85" spans="1:13" ht="20.100000000000001" customHeight="1" x14ac:dyDescent="0.2">
      <c r="A85" s="29" t="s">
        <v>323</v>
      </c>
      <c r="B85" s="23"/>
      <c r="C85" s="23"/>
      <c r="D85" s="23"/>
      <c r="E85" s="23"/>
      <c r="F85" s="23"/>
      <c r="G85" s="23"/>
      <c r="H85" s="23"/>
      <c r="I85" s="23"/>
      <c r="J85" s="23"/>
      <c r="K85" s="24"/>
      <c r="L85" s="13"/>
      <c r="M85" s="13"/>
    </row>
    <row r="86" spans="1:13" ht="32.1" customHeight="1" x14ac:dyDescent="0.2">
      <c r="A86" s="12" t="str">
        <f>$C$4&amp;"-"&amp;TEXT(COUNTA($D$12:D86),"00")</f>
        <v>TC-67</v>
      </c>
      <c r="B86" s="6" t="s">
        <v>324</v>
      </c>
      <c r="C86" s="6" t="s">
        <v>325</v>
      </c>
      <c r="D86" s="6" t="s">
        <v>326</v>
      </c>
      <c r="E86" s="6" t="s">
        <v>327</v>
      </c>
      <c r="F86" s="13"/>
      <c r="G86" s="14" t="s">
        <v>30</v>
      </c>
      <c r="H86" s="13"/>
      <c r="I86" s="13"/>
      <c r="J86" s="13"/>
      <c r="K86" s="13"/>
      <c r="L86" s="13"/>
      <c r="M86" s="13" t="s">
        <v>328</v>
      </c>
    </row>
    <row r="87" spans="1:13" ht="32.1" customHeight="1" x14ac:dyDescent="0.2">
      <c r="A87" s="12" t="str">
        <f>$C$4&amp;"-"&amp;TEXT(COUNTA($D$12:D87),"00")</f>
        <v>TC-68</v>
      </c>
      <c r="B87" s="6" t="s">
        <v>329</v>
      </c>
      <c r="C87" s="6" t="s">
        <v>330</v>
      </c>
      <c r="D87" s="6" t="s">
        <v>331</v>
      </c>
      <c r="E87" s="6" t="s">
        <v>332</v>
      </c>
      <c r="F87" s="13"/>
      <c r="G87" s="14" t="s">
        <v>30</v>
      </c>
      <c r="H87" s="13"/>
      <c r="I87" s="13"/>
      <c r="J87" s="13"/>
      <c r="K87" s="13"/>
      <c r="L87" s="13"/>
      <c r="M87" s="13" t="s">
        <v>333</v>
      </c>
    </row>
    <row r="88" spans="1:13" ht="63.95" customHeight="1" x14ac:dyDescent="0.2">
      <c r="A88" s="12" t="str">
        <f>$C$4&amp;"-"&amp;TEXT(COUNTA($D$12:D88),"00")</f>
        <v>TC-69</v>
      </c>
      <c r="B88" s="6" t="s">
        <v>334</v>
      </c>
      <c r="C88" s="6" t="s">
        <v>335</v>
      </c>
      <c r="D88" s="6" t="s">
        <v>336</v>
      </c>
      <c r="E88" s="6" t="s">
        <v>337</v>
      </c>
      <c r="F88" s="13"/>
      <c r="G88" s="14" t="s">
        <v>30</v>
      </c>
      <c r="H88" s="13"/>
      <c r="I88" s="13"/>
      <c r="J88" s="13"/>
      <c r="K88" s="13"/>
      <c r="L88" s="13"/>
      <c r="M88" s="13" t="s">
        <v>338</v>
      </c>
    </row>
    <row r="89" spans="1:13" ht="32.1" customHeight="1" x14ac:dyDescent="0.2">
      <c r="A89" s="12" t="str">
        <f>$C$4&amp;"-"&amp;TEXT(COUNTA($D$12:D89),"00")</f>
        <v>TC-70</v>
      </c>
      <c r="B89" s="6" t="s">
        <v>339</v>
      </c>
      <c r="C89" s="6" t="s">
        <v>340</v>
      </c>
      <c r="D89" s="6" t="s">
        <v>341</v>
      </c>
      <c r="E89" s="6" t="s">
        <v>342</v>
      </c>
      <c r="F89" s="13"/>
      <c r="G89" s="14" t="s">
        <v>30</v>
      </c>
      <c r="H89" s="13"/>
      <c r="I89" s="13"/>
      <c r="J89" s="13"/>
      <c r="K89" s="13"/>
      <c r="L89" s="13"/>
      <c r="M89" s="13" t="s">
        <v>343</v>
      </c>
    </row>
    <row r="90" spans="1:13" ht="32.1" customHeight="1" x14ac:dyDescent="0.2">
      <c r="A90" s="12" t="str">
        <f>$C$4&amp;"-"&amp;TEXT(COUNTA($D$12:D90),"00")</f>
        <v>TC-71</v>
      </c>
      <c r="B90" s="6" t="s">
        <v>344</v>
      </c>
      <c r="C90" s="6" t="s">
        <v>345</v>
      </c>
      <c r="D90" s="6" t="s">
        <v>346</v>
      </c>
      <c r="E90" s="6" t="s">
        <v>347</v>
      </c>
      <c r="F90" s="13"/>
      <c r="G90" s="14" t="s">
        <v>30</v>
      </c>
      <c r="H90" s="13"/>
      <c r="I90" s="13"/>
      <c r="J90" s="13"/>
      <c r="K90" s="13"/>
      <c r="L90" s="13"/>
      <c r="M90" s="13" t="s">
        <v>348</v>
      </c>
    </row>
    <row r="91" spans="1:13" ht="20.100000000000001" customHeight="1" x14ac:dyDescent="0.2">
      <c r="A91" s="28" t="s">
        <v>349</v>
      </c>
      <c r="B91" s="23"/>
      <c r="C91" s="24"/>
      <c r="D91" s="11"/>
      <c r="E91" s="11"/>
      <c r="F91" s="11"/>
      <c r="G91" s="11"/>
      <c r="H91" s="11"/>
      <c r="I91" s="11"/>
      <c r="J91" s="11"/>
      <c r="K91" s="11"/>
      <c r="L91" s="11"/>
      <c r="M91" s="11"/>
    </row>
    <row r="92" spans="1:13" ht="80.099999999999994" customHeight="1" x14ac:dyDescent="0.2">
      <c r="A92" s="22" t="s">
        <v>350</v>
      </c>
      <c r="B92" s="23"/>
      <c r="C92" s="23"/>
      <c r="D92" s="23"/>
      <c r="E92" s="23"/>
      <c r="F92" s="23"/>
      <c r="G92" s="23"/>
      <c r="H92" s="23"/>
      <c r="I92" s="23"/>
      <c r="J92" s="23"/>
      <c r="K92" s="23"/>
      <c r="L92" s="23"/>
      <c r="M92" s="24"/>
    </row>
    <row r="93" spans="1:13" ht="20.100000000000001" customHeight="1" x14ac:dyDescent="0.2">
      <c r="A93" s="29" t="s">
        <v>351</v>
      </c>
      <c r="B93" s="23"/>
      <c r="C93" s="23"/>
      <c r="D93" s="23"/>
      <c r="E93" s="23"/>
      <c r="F93" s="23"/>
      <c r="G93" s="23"/>
      <c r="H93" s="23"/>
      <c r="I93" s="23"/>
      <c r="J93" s="23"/>
      <c r="K93" s="24"/>
      <c r="L93" s="13"/>
      <c r="M93" s="13"/>
    </row>
    <row r="94" spans="1:13" ht="144" customHeight="1" x14ac:dyDescent="0.2">
      <c r="A94" s="12" t="str">
        <f>$C$4&amp;"-"&amp;TEXT(COUNTA($D$12:D94),"00")</f>
        <v>TC-72</v>
      </c>
      <c r="B94" s="18" t="s">
        <v>26</v>
      </c>
      <c r="C94" s="6" t="s">
        <v>352</v>
      </c>
      <c r="D94" s="6" t="s">
        <v>353</v>
      </c>
      <c r="E94" s="6" t="s">
        <v>354</v>
      </c>
      <c r="F94" s="13"/>
      <c r="G94" s="14" t="s">
        <v>30</v>
      </c>
      <c r="H94" s="13"/>
      <c r="I94" s="13"/>
      <c r="J94" s="13"/>
      <c r="K94" s="13"/>
      <c r="L94" s="13"/>
      <c r="M94" s="13" t="s">
        <v>355</v>
      </c>
    </row>
    <row r="95" spans="1:13" ht="96" customHeight="1" x14ac:dyDescent="0.2">
      <c r="A95" s="12" t="str">
        <f>$C$4&amp;"-"&amp;TEXT(COUNTA($D$12:D95),"00")</f>
        <v>TC-73</v>
      </c>
      <c r="B95" s="26"/>
      <c r="C95" s="6" t="s">
        <v>356</v>
      </c>
      <c r="D95" s="6" t="s">
        <v>33</v>
      </c>
      <c r="E95" s="6" t="s">
        <v>34</v>
      </c>
      <c r="F95" s="13"/>
      <c r="G95" s="14" t="s">
        <v>30</v>
      </c>
      <c r="H95" s="13"/>
      <c r="I95" s="13"/>
      <c r="J95" s="13"/>
      <c r="K95" s="13"/>
      <c r="L95" s="13"/>
      <c r="M95" s="13"/>
    </row>
    <row r="96" spans="1:13" ht="48" customHeight="1" x14ac:dyDescent="0.2">
      <c r="A96" s="12" t="str">
        <f>$C$4&amp;"-"&amp;TEXT(COUNTA($D$12:D96),"00")</f>
        <v>TC-74</v>
      </c>
      <c r="B96" s="26"/>
      <c r="C96" s="6" t="s">
        <v>357</v>
      </c>
      <c r="D96" s="6" t="s">
        <v>358</v>
      </c>
      <c r="E96" s="6" t="s">
        <v>359</v>
      </c>
      <c r="F96" s="13"/>
      <c r="G96" s="14" t="s">
        <v>30</v>
      </c>
      <c r="H96" s="13"/>
      <c r="I96" s="13"/>
      <c r="J96" s="13"/>
      <c r="K96" s="13"/>
      <c r="L96" s="13"/>
      <c r="M96" s="13" t="s">
        <v>360</v>
      </c>
    </row>
    <row r="97" spans="1:13" ht="48" customHeight="1" x14ac:dyDescent="0.2">
      <c r="A97" s="12" t="str">
        <f>$C$4&amp;"-"&amp;TEXT(COUNTA($D$12:D97),"00")</f>
        <v>TC-75</v>
      </c>
      <c r="B97" s="26"/>
      <c r="C97" s="6" t="s">
        <v>361</v>
      </c>
      <c r="D97" s="6" t="s">
        <v>362</v>
      </c>
      <c r="E97" s="6" t="s">
        <v>363</v>
      </c>
      <c r="F97" s="13" t="s">
        <v>364</v>
      </c>
      <c r="G97" s="14" t="s">
        <v>365</v>
      </c>
      <c r="H97" s="13"/>
      <c r="I97" s="13"/>
      <c r="J97" s="13"/>
      <c r="K97" s="13"/>
      <c r="L97" s="13"/>
      <c r="M97" s="13" t="s">
        <v>366</v>
      </c>
    </row>
    <row r="98" spans="1:13" ht="48" customHeight="1" x14ac:dyDescent="0.2">
      <c r="A98" s="12" t="str">
        <f>$C$4&amp;"-"&amp;TEXT(COUNTA($D$12:D98),"00")</f>
        <v>TC-76</v>
      </c>
      <c r="B98" s="26"/>
      <c r="C98" s="6" t="s">
        <v>367</v>
      </c>
      <c r="D98" s="6" t="s">
        <v>368</v>
      </c>
      <c r="E98" s="6" t="s">
        <v>369</v>
      </c>
      <c r="F98" s="13" t="s">
        <v>370</v>
      </c>
      <c r="G98" s="14" t="s">
        <v>365</v>
      </c>
      <c r="H98" s="13"/>
      <c r="I98" s="13"/>
      <c r="J98" s="13"/>
      <c r="K98" s="13"/>
      <c r="L98" s="13"/>
      <c r="M98" s="13" t="s">
        <v>371</v>
      </c>
    </row>
    <row r="99" spans="1:13" ht="48" customHeight="1" x14ac:dyDescent="0.2">
      <c r="A99" s="12" t="str">
        <f>$C$4&amp;"-"&amp;TEXT(COUNTA($D$12:D99),"00")</f>
        <v>TC-77</v>
      </c>
      <c r="B99" s="26"/>
      <c r="C99" s="6" t="s">
        <v>372</v>
      </c>
      <c r="D99" s="6" t="s">
        <v>373</v>
      </c>
      <c r="E99" s="6" t="s">
        <v>374</v>
      </c>
      <c r="F99" s="13"/>
      <c r="G99" s="14" t="s">
        <v>365</v>
      </c>
      <c r="H99" s="13"/>
      <c r="I99" s="13"/>
      <c r="J99" s="13"/>
      <c r="K99" s="13"/>
      <c r="L99" s="13"/>
      <c r="M99" s="13" t="s">
        <v>375</v>
      </c>
    </row>
    <row r="100" spans="1:13" ht="63.95" customHeight="1" x14ac:dyDescent="0.2">
      <c r="A100" s="12" t="str">
        <f>$C$4&amp;"-"&amp;TEXT(COUNTA($D$12:D100),"00")</f>
        <v>TC-78</v>
      </c>
      <c r="B100" s="26"/>
      <c r="C100" s="6" t="s">
        <v>376</v>
      </c>
      <c r="D100" s="6" t="s">
        <v>377</v>
      </c>
      <c r="E100" s="6" t="s">
        <v>378</v>
      </c>
      <c r="F100" s="13"/>
      <c r="G100" s="14" t="s">
        <v>365</v>
      </c>
      <c r="H100" s="13"/>
      <c r="I100" s="13"/>
      <c r="J100" s="13"/>
      <c r="K100" s="13"/>
      <c r="L100" s="13"/>
      <c r="M100" s="13" t="s">
        <v>379</v>
      </c>
    </row>
    <row r="101" spans="1:13" ht="48" customHeight="1" x14ac:dyDescent="0.2">
      <c r="A101" s="12" t="str">
        <f>$C$4&amp;"-"&amp;TEXT(COUNTA($D$12:D101),"00")</f>
        <v>TC-79</v>
      </c>
      <c r="B101" s="26"/>
      <c r="C101" s="6" t="s">
        <v>380</v>
      </c>
      <c r="D101" s="6" t="s">
        <v>381</v>
      </c>
      <c r="E101" s="6" t="s">
        <v>382</v>
      </c>
      <c r="F101" s="13"/>
      <c r="G101" s="14" t="s">
        <v>365</v>
      </c>
      <c r="H101" s="13"/>
      <c r="I101" s="13"/>
      <c r="J101" s="13"/>
      <c r="K101" s="13"/>
      <c r="L101" s="13"/>
      <c r="M101" s="13" t="s">
        <v>383</v>
      </c>
    </row>
    <row r="102" spans="1:13" ht="48" customHeight="1" x14ac:dyDescent="0.2">
      <c r="A102" s="12" t="str">
        <f>$C$4&amp;"-"&amp;TEXT(COUNTA($D$12:D102),"00")</f>
        <v>TC-80</v>
      </c>
      <c r="B102" s="19"/>
      <c r="C102" s="6" t="s">
        <v>384</v>
      </c>
      <c r="D102" s="6" t="s">
        <v>385</v>
      </c>
      <c r="E102" s="6" t="s">
        <v>386</v>
      </c>
      <c r="F102" s="13"/>
      <c r="G102" s="14" t="s">
        <v>365</v>
      </c>
      <c r="H102" s="13"/>
      <c r="I102" s="13"/>
      <c r="J102" s="13"/>
      <c r="K102" s="13"/>
      <c r="L102" s="13"/>
      <c r="M102" s="13" t="s">
        <v>387</v>
      </c>
    </row>
    <row r="103" spans="1:13" ht="32.1" customHeight="1" x14ac:dyDescent="0.2">
      <c r="A103" s="12" t="str">
        <f>$C$4&amp;"-"&amp;TEXT(COUNTA($D$12:D103),"00")</f>
        <v>TC-81</v>
      </c>
      <c r="B103" s="6" t="s">
        <v>103</v>
      </c>
      <c r="C103" s="6" t="s">
        <v>388</v>
      </c>
      <c r="D103" s="6" t="s">
        <v>389</v>
      </c>
      <c r="E103" s="6" t="s">
        <v>390</v>
      </c>
      <c r="F103" s="13"/>
      <c r="G103" s="14" t="s">
        <v>365</v>
      </c>
      <c r="H103" s="13"/>
      <c r="I103" s="13"/>
      <c r="J103" s="13"/>
      <c r="K103" s="13"/>
      <c r="L103" s="13"/>
      <c r="M103" s="13" t="s">
        <v>391</v>
      </c>
    </row>
    <row r="104" spans="1:13" ht="96" customHeight="1" x14ac:dyDescent="0.2">
      <c r="A104" s="12" t="str">
        <f>$C$4&amp;"-"&amp;TEXT(COUNTA($D$12:D104),"00")</f>
        <v>TC-82</v>
      </c>
      <c r="B104" s="6" t="s">
        <v>392</v>
      </c>
      <c r="C104" s="6" t="s">
        <v>393</v>
      </c>
      <c r="D104" s="6" t="s">
        <v>394</v>
      </c>
      <c r="E104" s="6" t="s">
        <v>395</v>
      </c>
      <c r="F104" s="13"/>
      <c r="G104" s="14" t="s">
        <v>365</v>
      </c>
      <c r="H104" s="13"/>
      <c r="I104" s="13"/>
      <c r="J104" s="13"/>
      <c r="K104" s="13"/>
      <c r="L104" s="13"/>
      <c r="M104" s="13" t="s">
        <v>396</v>
      </c>
    </row>
    <row r="105" spans="1:13" ht="20.100000000000001" customHeight="1" x14ac:dyDescent="0.2">
      <c r="A105" s="29" t="s">
        <v>397</v>
      </c>
      <c r="B105" s="23"/>
      <c r="C105" s="23"/>
      <c r="D105" s="23"/>
      <c r="E105" s="23"/>
      <c r="F105" s="23"/>
      <c r="G105" s="23"/>
      <c r="H105" s="23"/>
      <c r="I105" s="23"/>
      <c r="J105" s="23"/>
      <c r="K105" s="24"/>
      <c r="L105" s="13"/>
      <c r="M105" s="13"/>
    </row>
    <row r="106" spans="1:13" ht="128.1" customHeight="1" x14ac:dyDescent="0.2">
      <c r="A106" s="12" t="str">
        <f>$C$4&amp;"-"&amp;TEXT(COUNTA($D$12:D106),"00")</f>
        <v>TC-83</v>
      </c>
      <c r="B106" s="18" t="s">
        <v>398</v>
      </c>
      <c r="C106" s="6" t="s">
        <v>399</v>
      </c>
      <c r="D106" s="6" t="s">
        <v>400</v>
      </c>
      <c r="E106" s="6" t="s">
        <v>401</v>
      </c>
      <c r="F106" s="13"/>
      <c r="G106" s="14" t="s">
        <v>30</v>
      </c>
      <c r="H106" s="13"/>
      <c r="I106" s="13"/>
      <c r="J106" s="13"/>
      <c r="K106" s="13"/>
      <c r="L106" s="13"/>
      <c r="M106" s="13" t="s">
        <v>402</v>
      </c>
    </row>
    <row r="107" spans="1:13" ht="63.95" customHeight="1" x14ac:dyDescent="0.2">
      <c r="A107" s="12" t="str">
        <f>$C$4&amp;"-"&amp;TEXT(COUNTA($D$12:D107),"00")</f>
        <v>TC-84</v>
      </c>
      <c r="B107" s="26"/>
      <c r="C107" s="6" t="s">
        <v>403</v>
      </c>
      <c r="D107" s="6" t="s">
        <v>404</v>
      </c>
      <c r="E107" s="6" t="s">
        <v>405</v>
      </c>
      <c r="F107" s="13"/>
      <c r="G107" s="14" t="s">
        <v>30</v>
      </c>
      <c r="H107" s="13"/>
      <c r="I107" s="13"/>
      <c r="J107" s="13"/>
      <c r="K107" s="13"/>
      <c r="L107" s="13"/>
      <c r="M107" s="13" t="s">
        <v>406</v>
      </c>
    </row>
    <row r="108" spans="1:13" ht="32.1" customHeight="1" x14ac:dyDescent="0.2">
      <c r="A108" s="12" t="str">
        <f>$C$4&amp;"-"&amp;TEXT(COUNTA($D$12:D108),"00")</f>
        <v>TC-85</v>
      </c>
      <c r="B108" s="26"/>
      <c r="C108" s="6" t="s">
        <v>407</v>
      </c>
      <c r="D108" s="6" t="s">
        <v>408</v>
      </c>
      <c r="E108" s="6" t="s">
        <v>409</v>
      </c>
      <c r="F108" s="13"/>
      <c r="G108" s="14" t="s">
        <v>30</v>
      </c>
      <c r="H108" s="13"/>
      <c r="I108" s="13"/>
      <c r="J108" s="13"/>
      <c r="K108" s="13"/>
      <c r="L108" s="13"/>
      <c r="M108" s="13" t="s">
        <v>410</v>
      </c>
    </row>
    <row r="109" spans="1:13" ht="80.099999999999994" customHeight="1" x14ac:dyDescent="0.2">
      <c r="A109" s="12" t="str">
        <f>$C$4&amp;"-"&amp;TEXT(COUNTA($D$12:D109),"00")</f>
        <v>TC-86</v>
      </c>
      <c r="B109" s="26"/>
      <c r="C109" s="6" t="s">
        <v>411</v>
      </c>
      <c r="D109" s="6" t="s">
        <v>412</v>
      </c>
      <c r="E109" s="6" t="s">
        <v>413</v>
      </c>
      <c r="F109" s="13"/>
      <c r="G109" s="14" t="s">
        <v>30</v>
      </c>
      <c r="H109" s="13"/>
      <c r="I109" s="13"/>
      <c r="J109" s="13"/>
      <c r="K109" s="13"/>
      <c r="L109" s="13"/>
      <c r="M109" s="13" t="s">
        <v>414</v>
      </c>
    </row>
    <row r="110" spans="1:13" ht="48" customHeight="1" x14ac:dyDescent="0.2">
      <c r="A110" s="12" t="str">
        <f>$C$4&amp;"-"&amp;TEXT(COUNTA($D$12:D110),"00")</f>
        <v>TC-87</v>
      </c>
      <c r="B110" s="19"/>
      <c r="C110" s="6" t="s">
        <v>415</v>
      </c>
      <c r="D110" s="6" t="s">
        <v>416</v>
      </c>
      <c r="E110" s="6" t="s">
        <v>417</v>
      </c>
      <c r="F110" s="13" t="s">
        <v>418</v>
      </c>
      <c r="G110" s="14" t="s">
        <v>30</v>
      </c>
      <c r="H110" s="13"/>
      <c r="I110" s="13"/>
      <c r="J110" s="13"/>
      <c r="K110" s="13"/>
      <c r="L110" s="13"/>
      <c r="M110" s="13" t="s">
        <v>419</v>
      </c>
    </row>
    <row r="111" spans="1:13" ht="80.099999999999994" customHeight="1" x14ac:dyDescent="0.2">
      <c r="A111" s="12" t="str">
        <f>$C$4&amp;"-"&amp;TEXT(COUNTA($D$12:D111),"00")</f>
        <v>TC-88</v>
      </c>
      <c r="B111" s="18" t="s">
        <v>420</v>
      </c>
      <c r="C111" s="6" t="s">
        <v>421</v>
      </c>
      <c r="D111" s="6" t="s">
        <v>422</v>
      </c>
      <c r="E111" s="6" t="s">
        <v>423</v>
      </c>
      <c r="F111" s="13"/>
      <c r="G111" s="14" t="s">
        <v>30</v>
      </c>
      <c r="H111" s="13"/>
      <c r="I111" s="13"/>
      <c r="J111" s="13"/>
      <c r="K111" s="13"/>
      <c r="L111" s="13"/>
      <c r="M111" s="13" t="s">
        <v>424</v>
      </c>
    </row>
    <row r="112" spans="1:13" ht="48" customHeight="1" x14ac:dyDescent="0.2">
      <c r="A112" s="12" t="str">
        <f>$C$4&amp;"-"&amp;TEXT(COUNTA($D$12:D112),"00")</f>
        <v>TC-89</v>
      </c>
      <c r="B112" s="26"/>
      <c r="C112" s="6" t="s">
        <v>425</v>
      </c>
      <c r="D112" s="6" t="s">
        <v>426</v>
      </c>
      <c r="E112" s="6" t="s">
        <v>427</v>
      </c>
      <c r="F112" s="13"/>
      <c r="G112" s="14" t="s">
        <v>30</v>
      </c>
      <c r="H112" s="13"/>
      <c r="I112" s="13"/>
      <c r="J112" s="13"/>
      <c r="K112" s="13"/>
      <c r="L112" s="13"/>
      <c r="M112" s="13" t="s">
        <v>428</v>
      </c>
    </row>
    <row r="113" spans="1:13" ht="96" customHeight="1" x14ac:dyDescent="0.2">
      <c r="A113" s="12" t="str">
        <f>$C$4&amp;"-"&amp;TEXT(COUNTA($D$12:D113),"00")</f>
        <v>TC-90</v>
      </c>
      <c r="B113" s="26"/>
      <c r="C113" s="6" t="s">
        <v>429</v>
      </c>
      <c r="D113" s="6" t="s">
        <v>430</v>
      </c>
      <c r="E113" s="6" t="s">
        <v>431</v>
      </c>
      <c r="F113" s="13"/>
      <c r="G113" s="14" t="s">
        <v>365</v>
      </c>
      <c r="H113" s="13"/>
      <c r="I113" s="13"/>
      <c r="J113" s="13"/>
      <c r="K113" s="13"/>
      <c r="L113" s="13"/>
      <c r="M113" s="13" t="s">
        <v>432</v>
      </c>
    </row>
    <row r="114" spans="1:13" ht="80.099999999999994" customHeight="1" x14ac:dyDescent="0.2">
      <c r="A114" s="12" t="str">
        <f>$C$4&amp;"-"&amp;TEXT(COUNTA($D$12:D114),"00")</f>
        <v>TC-91</v>
      </c>
      <c r="B114" s="19"/>
      <c r="C114" s="6" t="s">
        <v>433</v>
      </c>
      <c r="D114" s="6" t="s">
        <v>434</v>
      </c>
      <c r="E114" s="6" t="s">
        <v>435</v>
      </c>
      <c r="F114" s="13"/>
      <c r="G114" s="14" t="s">
        <v>365</v>
      </c>
      <c r="H114" s="13"/>
      <c r="I114" s="13"/>
      <c r="J114" s="13"/>
      <c r="K114" s="13"/>
      <c r="L114" s="13"/>
      <c r="M114" s="13" t="s">
        <v>436</v>
      </c>
    </row>
    <row r="115" spans="1:13" ht="128.1" customHeight="1" x14ac:dyDescent="0.2">
      <c r="A115" s="12" t="str">
        <f>$C$4&amp;"-"&amp;TEXT(COUNTA($D$12:D115),"00")</f>
        <v>TC-92</v>
      </c>
      <c r="B115" s="18" t="s">
        <v>437</v>
      </c>
      <c r="C115" s="6" t="s">
        <v>438</v>
      </c>
      <c r="D115" s="6" t="s">
        <v>439</v>
      </c>
      <c r="E115" s="6" t="s">
        <v>440</v>
      </c>
      <c r="F115" s="13"/>
      <c r="G115" s="14" t="s">
        <v>30</v>
      </c>
      <c r="H115" s="13"/>
      <c r="I115" s="13"/>
      <c r="J115" s="13"/>
      <c r="K115" s="13"/>
      <c r="L115" s="13"/>
      <c r="M115" s="13" t="s">
        <v>441</v>
      </c>
    </row>
    <row r="116" spans="1:13" ht="63.95" customHeight="1" x14ac:dyDescent="0.2">
      <c r="A116" s="12" t="str">
        <f>$C$4&amp;"-"&amp;TEXT(COUNTA($D$12:D116),"00")</f>
        <v>TC-93</v>
      </c>
      <c r="B116" s="26"/>
      <c r="C116" s="6" t="s">
        <v>442</v>
      </c>
      <c r="D116" s="6" t="s">
        <v>404</v>
      </c>
      <c r="E116" s="6" t="s">
        <v>443</v>
      </c>
      <c r="F116" s="13"/>
      <c r="G116" s="14" t="s">
        <v>30</v>
      </c>
      <c r="H116" s="13"/>
      <c r="I116" s="13"/>
      <c r="J116" s="13"/>
      <c r="K116" s="13"/>
      <c r="L116" s="13"/>
      <c r="M116" s="13" t="s">
        <v>444</v>
      </c>
    </row>
    <row r="117" spans="1:13" ht="48" customHeight="1" x14ac:dyDescent="0.2">
      <c r="A117" s="12" t="str">
        <f>$C$4&amp;"-"&amp;TEXT(COUNTA($D$12:D117),"00")</f>
        <v>TC-94</v>
      </c>
      <c r="B117" s="26"/>
      <c r="C117" s="6" t="s">
        <v>445</v>
      </c>
      <c r="D117" s="6" t="s">
        <v>446</v>
      </c>
      <c r="E117" s="6" t="s">
        <v>447</v>
      </c>
      <c r="F117" s="13"/>
      <c r="G117" s="14" t="s">
        <v>30</v>
      </c>
      <c r="H117" s="13"/>
      <c r="I117" s="13"/>
      <c r="J117" s="13"/>
      <c r="K117" s="13"/>
      <c r="L117" s="13"/>
      <c r="M117" s="13" t="s">
        <v>448</v>
      </c>
    </row>
    <row r="118" spans="1:13" ht="48" customHeight="1" x14ac:dyDescent="0.2">
      <c r="A118" s="12" t="str">
        <f>$C$4&amp;"-"&amp;TEXT(COUNTA($D$12:D118),"00")</f>
        <v>TC-95</v>
      </c>
      <c r="B118" s="26"/>
      <c r="C118" s="6" t="s">
        <v>449</v>
      </c>
      <c r="D118" s="6" t="s">
        <v>450</v>
      </c>
      <c r="E118" s="6" t="s">
        <v>451</v>
      </c>
      <c r="F118" s="13"/>
      <c r="G118" s="14" t="s">
        <v>30</v>
      </c>
      <c r="H118" s="13"/>
      <c r="I118" s="13"/>
      <c r="J118" s="13"/>
      <c r="K118" s="13"/>
      <c r="L118" s="13"/>
      <c r="M118" s="13" t="s">
        <v>452</v>
      </c>
    </row>
    <row r="119" spans="1:13" ht="48" customHeight="1" x14ac:dyDescent="0.2">
      <c r="A119" s="12" t="str">
        <f>$C$4&amp;"-"&amp;TEXT(COUNTA($D$12:D119),"00")</f>
        <v>TC-96</v>
      </c>
      <c r="B119" s="26"/>
      <c r="C119" s="6" t="s">
        <v>453</v>
      </c>
      <c r="D119" s="6" t="s">
        <v>454</v>
      </c>
      <c r="E119" s="6" t="s">
        <v>455</v>
      </c>
      <c r="F119" s="13"/>
      <c r="G119" s="14" t="s">
        <v>30</v>
      </c>
      <c r="H119" s="13"/>
      <c r="I119" s="13"/>
      <c r="J119" s="13"/>
      <c r="K119" s="13"/>
      <c r="L119" s="13"/>
      <c r="M119" s="13" t="s">
        <v>456</v>
      </c>
    </row>
    <row r="120" spans="1:13" ht="96" customHeight="1" x14ac:dyDescent="0.2">
      <c r="A120" s="12" t="str">
        <f>$C$4&amp;"-"&amp;TEXT(COUNTA($D$12:D120),"00")</f>
        <v>TC-97</v>
      </c>
      <c r="B120" s="26"/>
      <c r="C120" s="6" t="s">
        <v>457</v>
      </c>
      <c r="D120" s="6" t="s">
        <v>458</v>
      </c>
      <c r="E120" s="6" t="s">
        <v>459</v>
      </c>
      <c r="F120" s="13" t="s">
        <v>460</v>
      </c>
      <c r="G120" s="14" t="s">
        <v>365</v>
      </c>
      <c r="H120" s="13"/>
      <c r="I120" s="13"/>
      <c r="J120" s="13"/>
      <c r="K120" s="13"/>
      <c r="L120" s="13"/>
      <c r="M120" s="13" t="s">
        <v>461</v>
      </c>
    </row>
    <row r="121" spans="1:13" ht="111.95" customHeight="1" x14ac:dyDescent="0.2">
      <c r="A121" s="12" t="str">
        <f>$C$4&amp;"-"&amp;TEXT(COUNTA($D$12:D121),"00")</f>
        <v>TC-98</v>
      </c>
      <c r="B121" s="19"/>
      <c r="C121" s="6" t="s">
        <v>462</v>
      </c>
      <c r="D121" s="6" t="s">
        <v>463</v>
      </c>
      <c r="E121" s="6" t="s">
        <v>464</v>
      </c>
      <c r="F121" s="13" t="s">
        <v>465</v>
      </c>
      <c r="G121" s="14" t="s">
        <v>365</v>
      </c>
      <c r="H121" s="13"/>
      <c r="I121" s="13"/>
      <c r="J121" s="13"/>
      <c r="K121" s="13"/>
      <c r="L121" s="13"/>
      <c r="M121" s="13" t="s">
        <v>466</v>
      </c>
    </row>
    <row r="122" spans="1:13" ht="128.1" customHeight="1" x14ac:dyDescent="0.2">
      <c r="A122" s="12" t="str">
        <f>$C$4&amp;"-"&amp;TEXT(COUNTA($D$12:D122),"00")</f>
        <v>TC-99</v>
      </c>
      <c r="B122" s="18" t="s">
        <v>467</v>
      </c>
      <c r="C122" s="6" t="s">
        <v>468</v>
      </c>
      <c r="D122" s="6" t="s">
        <v>469</v>
      </c>
      <c r="E122" s="6" t="s">
        <v>470</v>
      </c>
      <c r="F122" s="13"/>
      <c r="G122" s="14" t="s">
        <v>30</v>
      </c>
      <c r="H122" s="13"/>
      <c r="I122" s="13"/>
      <c r="J122" s="13"/>
      <c r="K122" s="13"/>
      <c r="L122" s="13"/>
      <c r="M122" s="13" t="s">
        <v>471</v>
      </c>
    </row>
    <row r="123" spans="1:13" ht="111.95" customHeight="1" x14ac:dyDescent="0.2">
      <c r="A123" s="12" t="str">
        <f>$C$4&amp;"-"&amp;TEXT(COUNTA($D$12:D123),"00")</f>
        <v>TC-100</v>
      </c>
      <c r="B123" s="26"/>
      <c r="C123" s="6" t="s">
        <v>472</v>
      </c>
      <c r="D123" s="6" t="s">
        <v>404</v>
      </c>
      <c r="E123" s="6" t="s">
        <v>473</v>
      </c>
      <c r="F123" s="13"/>
      <c r="G123" s="14" t="s">
        <v>30</v>
      </c>
      <c r="H123" s="13"/>
      <c r="I123" s="13"/>
      <c r="J123" s="13"/>
      <c r="K123" s="13"/>
      <c r="L123" s="13"/>
      <c r="M123" s="13" t="s">
        <v>474</v>
      </c>
    </row>
    <row r="124" spans="1:13" ht="48" customHeight="1" x14ac:dyDescent="0.2">
      <c r="A124" s="12" t="str">
        <f>$C$4&amp;"-"&amp;TEXT(COUNTA($D$12:D124),"00")</f>
        <v>TC-101</v>
      </c>
      <c r="B124" s="26"/>
      <c r="C124" s="6" t="s">
        <v>475</v>
      </c>
      <c r="D124" s="6" t="s">
        <v>476</v>
      </c>
      <c r="E124" s="6" t="s">
        <v>455</v>
      </c>
      <c r="F124" s="13"/>
      <c r="G124" s="14" t="s">
        <v>30</v>
      </c>
      <c r="H124" s="13"/>
      <c r="I124" s="13"/>
      <c r="J124" s="13"/>
      <c r="K124" s="13"/>
      <c r="L124" s="13"/>
      <c r="M124" s="13" t="s">
        <v>456</v>
      </c>
    </row>
    <row r="125" spans="1:13" ht="111.95" customHeight="1" x14ac:dyDescent="0.2">
      <c r="A125" s="12" t="str">
        <f>$C$4&amp;"-"&amp;TEXT(COUNTA($D$12:D125),"00")</f>
        <v>TC-102</v>
      </c>
      <c r="B125" s="26"/>
      <c r="C125" s="6" t="s">
        <v>477</v>
      </c>
      <c r="D125" s="6" t="s">
        <v>478</v>
      </c>
      <c r="E125" s="6" t="s">
        <v>479</v>
      </c>
      <c r="F125" s="13" t="s">
        <v>480</v>
      </c>
      <c r="G125" s="14" t="s">
        <v>365</v>
      </c>
      <c r="H125" s="13"/>
      <c r="I125" s="13"/>
      <c r="J125" s="13"/>
      <c r="K125" s="13"/>
      <c r="L125" s="13"/>
      <c r="M125" s="13" t="s">
        <v>481</v>
      </c>
    </row>
    <row r="126" spans="1:13" ht="48" customHeight="1" x14ac:dyDescent="0.2">
      <c r="A126" s="12" t="str">
        <f>$C$4&amp;"-"&amp;TEXT(COUNTA($D$12:D126),"00")</f>
        <v>TC-103</v>
      </c>
      <c r="B126" s="26"/>
      <c r="C126" s="6" t="s">
        <v>482</v>
      </c>
      <c r="D126" s="6" t="s">
        <v>483</v>
      </c>
      <c r="E126" s="6" t="s">
        <v>484</v>
      </c>
      <c r="F126" s="13"/>
      <c r="G126" s="14" t="s">
        <v>30</v>
      </c>
      <c r="H126" s="13"/>
      <c r="I126" s="13"/>
      <c r="J126" s="13"/>
      <c r="K126" s="13"/>
      <c r="L126" s="13"/>
      <c r="M126" s="13" t="s">
        <v>485</v>
      </c>
    </row>
    <row r="127" spans="1:13" ht="48" customHeight="1" x14ac:dyDescent="0.2">
      <c r="A127" s="12" t="str">
        <f>$C$4&amp;"-"&amp;TEXT(COUNTA($D$12:D127),"00")</f>
        <v>TC-104</v>
      </c>
      <c r="B127" s="26"/>
      <c r="C127" s="6" t="s">
        <v>486</v>
      </c>
      <c r="D127" s="6" t="s">
        <v>487</v>
      </c>
      <c r="E127" s="6" t="s">
        <v>488</v>
      </c>
      <c r="F127" s="13"/>
      <c r="G127" s="14" t="s">
        <v>30</v>
      </c>
      <c r="H127" s="13"/>
      <c r="I127" s="13"/>
      <c r="J127" s="13"/>
      <c r="K127" s="13"/>
      <c r="L127" s="13"/>
      <c r="M127" s="13" t="s">
        <v>489</v>
      </c>
    </row>
    <row r="128" spans="1:13" ht="80.099999999999994" customHeight="1" x14ac:dyDescent="0.2">
      <c r="A128" s="12" t="str">
        <f>$C$4&amp;"-"&amp;TEXT(COUNTA($D$12:D128),"00")</f>
        <v>TC-105</v>
      </c>
      <c r="B128" s="19"/>
      <c r="C128" s="6" t="s">
        <v>490</v>
      </c>
      <c r="D128" s="6" t="s">
        <v>491</v>
      </c>
      <c r="E128" s="6" t="s">
        <v>492</v>
      </c>
      <c r="F128" s="13" t="s">
        <v>493</v>
      </c>
      <c r="G128" s="14" t="s">
        <v>365</v>
      </c>
      <c r="H128" s="13"/>
      <c r="I128" s="13"/>
      <c r="J128" s="13"/>
      <c r="K128" s="13"/>
      <c r="L128" s="13"/>
      <c r="M128" s="13" t="s">
        <v>494</v>
      </c>
    </row>
    <row r="129" spans="1:13" ht="63.95" customHeight="1" x14ac:dyDescent="0.2">
      <c r="A129" s="12" t="str">
        <f>$C$4&amp;"-"&amp;TEXT(COUNTA($D$12:D129),"00")</f>
        <v>TC-106</v>
      </c>
      <c r="B129" s="6" t="s">
        <v>495</v>
      </c>
      <c r="C129" s="6" t="s">
        <v>496</v>
      </c>
      <c r="D129" s="6" t="s">
        <v>497</v>
      </c>
      <c r="E129" s="6" t="s">
        <v>498</v>
      </c>
      <c r="F129" s="13"/>
      <c r="G129" s="14" t="s">
        <v>30</v>
      </c>
      <c r="H129" s="13"/>
      <c r="I129" s="13"/>
      <c r="J129" s="13"/>
      <c r="K129" s="13"/>
      <c r="L129" s="13"/>
      <c r="M129" s="13" t="s">
        <v>499</v>
      </c>
    </row>
    <row r="130" spans="1:13" ht="80.099999999999994" customHeight="1" x14ac:dyDescent="0.2">
      <c r="A130" s="12" t="str">
        <f>$C$4&amp;"-"&amp;TEXT(COUNTA($D$12:D130),"00")</f>
        <v>TC-107</v>
      </c>
      <c r="B130" s="6" t="s">
        <v>500</v>
      </c>
      <c r="C130" s="6" t="s">
        <v>501</v>
      </c>
      <c r="D130" s="6" t="s">
        <v>502</v>
      </c>
      <c r="E130" s="6" t="s">
        <v>503</v>
      </c>
      <c r="F130" s="13" t="s">
        <v>504</v>
      </c>
      <c r="G130" s="14" t="s">
        <v>365</v>
      </c>
      <c r="H130" s="13"/>
      <c r="I130" s="13"/>
      <c r="J130" s="13"/>
      <c r="K130" s="13"/>
      <c r="L130" s="13"/>
      <c r="M130" s="13" t="s">
        <v>505</v>
      </c>
    </row>
    <row r="131" spans="1:13" ht="20.100000000000001" customHeight="1" x14ac:dyDescent="0.2">
      <c r="A131" s="29" t="s">
        <v>506</v>
      </c>
      <c r="B131" s="23"/>
      <c r="C131" s="23"/>
      <c r="D131" s="23"/>
      <c r="E131" s="23"/>
      <c r="F131" s="23"/>
      <c r="G131" s="23"/>
      <c r="H131" s="23"/>
      <c r="I131" s="23"/>
      <c r="J131" s="23"/>
      <c r="K131" s="24"/>
      <c r="L131" s="13"/>
      <c r="M131" s="13"/>
    </row>
    <row r="132" spans="1:13" ht="111.95" customHeight="1" x14ac:dyDescent="0.2">
      <c r="A132" s="12" t="str">
        <f>$C$4&amp;"-"&amp;TEXT(COUNTA($D$12:D132),"00")</f>
        <v>TC-108</v>
      </c>
      <c r="B132" s="18" t="s">
        <v>507</v>
      </c>
      <c r="C132" s="6" t="s">
        <v>508</v>
      </c>
      <c r="D132" s="6" t="s">
        <v>509</v>
      </c>
      <c r="E132" s="6" t="s">
        <v>510</v>
      </c>
      <c r="F132" s="13"/>
      <c r="G132" s="14" t="s">
        <v>30</v>
      </c>
      <c r="H132" s="13"/>
      <c r="I132" s="13"/>
      <c r="J132" s="13"/>
      <c r="K132" s="13"/>
      <c r="L132" s="13"/>
      <c r="M132" s="13" t="s">
        <v>511</v>
      </c>
    </row>
    <row r="133" spans="1:13" ht="63.95" customHeight="1" x14ac:dyDescent="0.2">
      <c r="A133" s="12" t="str">
        <f>$C$4&amp;"-"&amp;TEXT(COUNTA($D$12:D133),"00")</f>
        <v>TC-109</v>
      </c>
      <c r="B133" s="26"/>
      <c r="C133" s="6" t="s">
        <v>512</v>
      </c>
      <c r="D133" s="6" t="s">
        <v>404</v>
      </c>
      <c r="E133" s="6" t="s">
        <v>513</v>
      </c>
      <c r="F133" s="13"/>
      <c r="G133" s="14" t="s">
        <v>30</v>
      </c>
      <c r="H133" s="13"/>
      <c r="I133" s="13"/>
      <c r="J133" s="13"/>
      <c r="K133" s="13"/>
      <c r="L133" s="13"/>
      <c r="M133" s="13" t="s">
        <v>514</v>
      </c>
    </row>
    <row r="134" spans="1:13" ht="48" customHeight="1" x14ac:dyDescent="0.2">
      <c r="A134" s="12" t="str">
        <f>$C$4&amp;"-"&amp;TEXT(COUNTA($D$12:D134),"00")</f>
        <v>TC-110</v>
      </c>
      <c r="B134" s="26"/>
      <c r="C134" s="6" t="s">
        <v>515</v>
      </c>
      <c r="D134" s="6" t="s">
        <v>516</v>
      </c>
      <c r="E134" s="6" t="s">
        <v>455</v>
      </c>
      <c r="F134" s="13"/>
      <c r="G134" s="14" t="s">
        <v>30</v>
      </c>
      <c r="H134" s="13"/>
      <c r="I134" s="13"/>
      <c r="J134" s="13"/>
      <c r="K134" s="13"/>
      <c r="L134" s="13"/>
      <c r="M134" s="13" t="s">
        <v>456</v>
      </c>
    </row>
    <row r="135" spans="1:13" ht="80.099999999999994" customHeight="1" x14ac:dyDescent="0.2">
      <c r="A135" s="12" t="str">
        <f>$C$4&amp;"-"&amp;TEXT(COUNTA($D$12:D135),"00")</f>
        <v>TC-111</v>
      </c>
      <c r="B135" s="19"/>
      <c r="C135" s="6" t="s">
        <v>517</v>
      </c>
      <c r="D135" s="6" t="s">
        <v>518</v>
      </c>
      <c r="E135" s="6" t="s">
        <v>519</v>
      </c>
      <c r="F135" s="13"/>
      <c r="G135" s="14" t="s">
        <v>365</v>
      </c>
      <c r="H135" s="13"/>
      <c r="I135" s="13"/>
      <c r="J135" s="13"/>
      <c r="K135" s="13"/>
      <c r="L135" s="13"/>
      <c r="M135" s="13" t="s">
        <v>520</v>
      </c>
    </row>
    <row r="136" spans="1:13" ht="111.95" customHeight="1" x14ac:dyDescent="0.2">
      <c r="A136" s="12" t="str">
        <f>$C$4&amp;"-"&amp;TEXT(COUNTA($D$12:D136),"00")</f>
        <v>TC-112</v>
      </c>
      <c r="B136" s="18" t="s">
        <v>521</v>
      </c>
      <c r="C136" s="6" t="s">
        <v>522</v>
      </c>
      <c r="D136" s="6" t="s">
        <v>523</v>
      </c>
      <c r="E136" s="6" t="s">
        <v>524</v>
      </c>
      <c r="F136" s="13"/>
      <c r="G136" s="14" t="s">
        <v>30</v>
      </c>
      <c r="H136" s="13"/>
      <c r="I136" s="13"/>
      <c r="J136" s="13"/>
      <c r="K136" s="13"/>
      <c r="L136" s="13"/>
      <c r="M136" s="13" t="s">
        <v>525</v>
      </c>
    </row>
    <row r="137" spans="1:13" ht="63.95" customHeight="1" x14ac:dyDescent="0.2">
      <c r="A137" s="12" t="str">
        <f>$C$4&amp;"-"&amp;TEXT(COUNTA($D$12:D137),"00")</f>
        <v>TC-113</v>
      </c>
      <c r="B137" s="26"/>
      <c r="C137" s="6" t="s">
        <v>526</v>
      </c>
      <c r="D137" s="6" t="s">
        <v>404</v>
      </c>
      <c r="E137" s="6" t="s">
        <v>473</v>
      </c>
      <c r="F137" s="13"/>
      <c r="G137" s="14" t="s">
        <v>30</v>
      </c>
      <c r="H137" s="13"/>
      <c r="I137" s="13"/>
      <c r="J137" s="13"/>
      <c r="K137" s="13"/>
      <c r="L137" s="13"/>
      <c r="M137" s="13" t="s">
        <v>527</v>
      </c>
    </row>
    <row r="138" spans="1:13" ht="48" customHeight="1" x14ac:dyDescent="0.2">
      <c r="A138" s="12" t="str">
        <f>$C$4&amp;"-"&amp;TEXT(COUNTA($D$12:D138),"00")</f>
        <v>TC-114</v>
      </c>
      <c r="B138" s="26"/>
      <c r="C138" s="6" t="s">
        <v>528</v>
      </c>
      <c r="D138" s="6" t="s">
        <v>529</v>
      </c>
      <c r="E138" s="6" t="s">
        <v>455</v>
      </c>
      <c r="F138" s="13"/>
      <c r="G138" s="14" t="s">
        <v>30</v>
      </c>
      <c r="H138" s="13"/>
      <c r="I138" s="13"/>
      <c r="J138" s="13"/>
      <c r="K138" s="13"/>
      <c r="L138" s="13"/>
      <c r="M138" s="13" t="s">
        <v>456</v>
      </c>
    </row>
    <row r="139" spans="1:13" ht="96" customHeight="1" x14ac:dyDescent="0.2">
      <c r="A139" s="12" t="str">
        <f>$C$4&amp;"-"&amp;TEXT(COUNTA($D$12:D139),"00")</f>
        <v>TC-115</v>
      </c>
      <c r="B139" s="19"/>
      <c r="C139" s="6" t="s">
        <v>530</v>
      </c>
      <c r="D139" s="6" t="s">
        <v>531</v>
      </c>
      <c r="E139" s="6" t="s">
        <v>532</v>
      </c>
      <c r="F139" s="13"/>
      <c r="G139" s="14" t="s">
        <v>365</v>
      </c>
      <c r="H139" s="13"/>
      <c r="I139" s="13"/>
      <c r="J139" s="13"/>
      <c r="K139" s="13"/>
      <c r="L139" s="13"/>
      <c r="M139" s="13" t="s">
        <v>533</v>
      </c>
    </row>
    <row r="140" spans="1:13" ht="48" customHeight="1" x14ac:dyDescent="0.2">
      <c r="A140" s="12" t="str">
        <f>$C$4&amp;"-"&amp;TEXT(COUNTA($D$12:D140),"00")</f>
        <v>TC-116</v>
      </c>
      <c r="B140" s="6" t="s">
        <v>534</v>
      </c>
      <c r="C140" s="6" t="s">
        <v>535</v>
      </c>
      <c r="D140" s="6" t="s">
        <v>536</v>
      </c>
      <c r="E140" s="6" t="s">
        <v>537</v>
      </c>
      <c r="F140" s="13"/>
      <c r="G140" s="14" t="s">
        <v>30</v>
      </c>
      <c r="H140" s="13"/>
      <c r="I140" s="13"/>
      <c r="J140" s="13"/>
      <c r="K140" s="13"/>
      <c r="L140" s="13"/>
      <c r="M140" s="13" t="s">
        <v>538</v>
      </c>
    </row>
    <row r="141" spans="1:13" ht="20.100000000000001" customHeight="1" x14ac:dyDescent="0.2">
      <c r="A141" s="29" t="s">
        <v>539</v>
      </c>
      <c r="B141" s="23"/>
      <c r="C141" s="23"/>
      <c r="D141" s="23"/>
      <c r="E141" s="23"/>
      <c r="F141" s="23"/>
      <c r="G141" s="23"/>
      <c r="H141" s="23"/>
      <c r="I141" s="23"/>
      <c r="J141" s="23"/>
      <c r="K141" s="24"/>
      <c r="L141" s="13"/>
      <c r="M141" s="13"/>
    </row>
    <row r="142" spans="1:13" ht="63.95" customHeight="1" x14ac:dyDescent="0.2">
      <c r="A142" s="12" t="str">
        <f>$C$4&amp;"-"&amp;TEXT(COUNTA($D$12:D142),"00")</f>
        <v>TC-117</v>
      </c>
      <c r="B142" s="18" t="s">
        <v>540</v>
      </c>
      <c r="C142" s="6" t="s">
        <v>541</v>
      </c>
      <c r="D142" s="6" t="s">
        <v>542</v>
      </c>
      <c r="E142" s="6" t="s">
        <v>543</v>
      </c>
      <c r="F142" s="13"/>
      <c r="G142" s="14" t="s">
        <v>30</v>
      </c>
      <c r="H142" s="13"/>
      <c r="I142" s="13"/>
      <c r="J142" s="13"/>
      <c r="K142" s="13"/>
      <c r="L142" s="13"/>
      <c r="M142" s="13" t="s">
        <v>544</v>
      </c>
    </row>
    <row r="143" spans="1:13" ht="48" customHeight="1" x14ac:dyDescent="0.2">
      <c r="A143" s="12" t="str">
        <f>$C$4&amp;"-"&amp;TEXT(COUNTA($D$12:D143),"00")</f>
        <v>TC-118</v>
      </c>
      <c r="B143" s="19"/>
      <c r="C143" s="6" t="s">
        <v>545</v>
      </c>
      <c r="D143" s="6" t="s">
        <v>546</v>
      </c>
      <c r="E143" s="6" t="s">
        <v>547</v>
      </c>
      <c r="F143" s="13"/>
      <c r="G143" s="14" t="s">
        <v>30</v>
      </c>
      <c r="H143" s="13"/>
      <c r="I143" s="13"/>
      <c r="J143" s="13"/>
      <c r="K143" s="13"/>
      <c r="L143" s="13"/>
      <c r="M143" s="13" t="s">
        <v>548</v>
      </c>
    </row>
    <row r="144" spans="1:13" ht="96" customHeight="1" x14ac:dyDescent="0.2">
      <c r="A144" s="12" t="str">
        <f>$C$4&amp;"-"&amp;TEXT(COUNTA($D$12:D144),"00")</f>
        <v>TC-119</v>
      </c>
      <c r="B144" s="6" t="s">
        <v>549</v>
      </c>
      <c r="C144" s="6" t="s">
        <v>550</v>
      </c>
      <c r="D144" s="6" t="s">
        <v>551</v>
      </c>
      <c r="E144" s="6" t="s">
        <v>552</v>
      </c>
      <c r="F144" s="13"/>
      <c r="G144" s="14" t="s">
        <v>30</v>
      </c>
      <c r="H144" s="13"/>
      <c r="I144" s="13"/>
      <c r="J144" s="13"/>
      <c r="K144" s="13"/>
      <c r="L144" s="13"/>
      <c r="M144" s="13" t="s">
        <v>553</v>
      </c>
    </row>
    <row r="145" spans="1:13" ht="32.1" customHeight="1" x14ac:dyDescent="0.2">
      <c r="A145" s="12" t="str">
        <f>$C$4&amp;"-"&amp;TEXT(COUNTA($D$12:D145),"00")</f>
        <v>TC-120</v>
      </c>
      <c r="B145" s="18" t="s">
        <v>554</v>
      </c>
      <c r="C145" s="6" t="s">
        <v>555</v>
      </c>
      <c r="D145" s="6" t="s">
        <v>556</v>
      </c>
      <c r="E145" s="6" t="s">
        <v>552</v>
      </c>
      <c r="F145" s="13"/>
      <c r="G145" s="14" t="s">
        <v>30</v>
      </c>
      <c r="H145" s="13"/>
      <c r="I145" s="13"/>
      <c r="J145" s="13"/>
      <c r="K145" s="13"/>
      <c r="L145" s="13"/>
      <c r="M145" s="13" t="s">
        <v>557</v>
      </c>
    </row>
    <row r="146" spans="1:13" ht="48" customHeight="1" x14ac:dyDescent="0.2">
      <c r="A146" s="12" t="str">
        <f>$C$4&amp;"-"&amp;TEXT(COUNTA($D$12:D146),"00")</f>
        <v>TC-121</v>
      </c>
      <c r="B146" s="19"/>
      <c r="C146" s="6" t="s">
        <v>558</v>
      </c>
      <c r="D146" s="6" t="s">
        <v>559</v>
      </c>
      <c r="E146" s="6" t="s">
        <v>560</v>
      </c>
      <c r="F146" s="13"/>
      <c r="G146" s="14" t="s">
        <v>30</v>
      </c>
      <c r="H146" s="13"/>
      <c r="I146" s="13"/>
      <c r="J146" s="13"/>
      <c r="K146" s="13"/>
      <c r="L146" s="13"/>
      <c r="M146" s="13" t="s">
        <v>561</v>
      </c>
    </row>
    <row r="147" spans="1:13" ht="80.099999999999994" customHeight="1" x14ac:dyDescent="0.2">
      <c r="A147" s="12" t="str">
        <f>$C$4&amp;"-"&amp;TEXT(COUNTA($D$12:D147),"00")</f>
        <v>TC-122</v>
      </c>
      <c r="B147" s="6" t="s">
        <v>562</v>
      </c>
      <c r="C147" s="6" t="s">
        <v>563</v>
      </c>
      <c r="D147" s="6" t="s">
        <v>564</v>
      </c>
      <c r="E147" s="6" t="s">
        <v>565</v>
      </c>
      <c r="F147" s="13"/>
      <c r="G147" s="14" t="s">
        <v>365</v>
      </c>
      <c r="H147" s="13"/>
      <c r="I147" s="13"/>
      <c r="J147" s="13"/>
      <c r="K147" s="13"/>
      <c r="L147" s="13"/>
      <c r="M147" s="13" t="s">
        <v>566</v>
      </c>
    </row>
    <row r="148" spans="1:13" ht="63.95" customHeight="1" x14ac:dyDescent="0.2">
      <c r="A148" s="12" t="str">
        <f>$C$4&amp;"-"&amp;TEXT(COUNTA($D$12:D148),"00")</f>
        <v>TC-123</v>
      </c>
      <c r="B148" s="6" t="s">
        <v>567</v>
      </c>
      <c r="C148" s="6" t="s">
        <v>568</v>
      </c>
      <c r="D148" s="6" t="s">
        <v>569</v>
      </c>
      <c r="E148" s="6" t="s">
        <v>570</v>
      </c>
      <c r="F148" s="13"/>
      <c r="G148" s="14" t="s">
        <v>365</v>
      </c>
      <c r="H148" s="13"/>
      <c r="I148" s="13"/>
      <c r="J148" s="13"/>
      <c r="K148" s="13"/>
      <c r="L148" s="13"/>
      <c r="M148" s="13" t="s">
        <v>571</v>
      </c>
    </row>
    <row r="149" spans="1:13" ht="63.95" customHeight="1" x14ac:dyDescent="0.2">
      <c r="A149" s="12" t="str">
        <f>$C$4&amp;"-"&amp;TEXT(COUNTA($D$12:D149),"00")</f>
        <v>TC-124</v>
      </c>
      <c r="B149" s="6" t="s">
        <v>572</v>
      </c>
      <c r="C149" s="6" t="s">
        <v>573</v>
      </c>
      <c r="D149" s="6" t="s">
        <v>574</v>
      </c>
      <c r="E149" s="6" t="s">
        <v>575</v>
      </c>
      <c r="F149" s="13"/>
      <c r="G149" s="14" t="s">
        <v>365</v>
      </c>
      <c r="H149" s="13"/>
      <c r="I149" s="13"/>
      <c r="J149" s="13"/>
      <c r="K149" s="13"/>
      <c r="L149" s="13"/>
      <c r="M149" s="13" t="s">
        <v>576</v>
      </c>
    </row>
    <row r="150" spans="1:13" ht="20.100000000000001" customHeight="1" x14ac:dyDescent="0.2">
      <c r="A150" s="29" t="s">
        <v>577</v>
      </c>
      <c r="B150" s="23"/>
      <c r="C150" s="23"/>
      <c r="D150" s="23"/>
      <c r="E150" s="23"/>
      <c r="F150" s="23"/>
      <c r="G150" s="23"/>
      <c r="H150" s="23"/>
      <c r="I150" s="23"/>
      <c r="J150" s="23"/>
      <c r="K150" s="24"/>
      <c r="L150" s="13"/>
      <c r="M150" s="13"/>
    </row>
    <row r="151" spans="1:13" ht="80.099999999999994" customHeight="1" x14ac:dyDescent="0.2">
      <c r="A151" s="12" t="str">
        <f>$C$4&amp;"-"&amp;TEXT(COUNTA($D$12:D151),"00")</f>
        <v>TC-125</v>
      </c>
      <c r="B151" s="18" t="s">
        <v>578</v>
      </c>
      <c r="C151" s="6" t="s">
        <v>579</v>
      </c>
      <c r="D151" s="6" t="s">
        <v>580</v>
      </c>
      <c r="E151" s="6" t="s">
        <v>581</v>
      </c>
      <c r="F151" s="13"/>
      <c r="G151" s="14" t="s">
        <v>30</v>
      </c>
      <c r="H151" s="13"/>
      <c r="I151" s="13"/>
      <c r="J151" s="13"/>
      <c r="K151" s="13"/>
      <c r="L151" s="13"/>
      <c r="M151" s="13" t="s">
        <v>195</v>
      </c>
    </row>
    <row r="152" spans="1:13" ht="32.1" customHeight="1" x14ac:dyDescent="0.2">
      <c r="A152" s="12" t="str">
        <f>$C$4&amp;"-"&amp;TEXT(COUNTA($D$12:D152),"00")</f>
        <v>TC-126</v>
      </c>
      <c r="B152" s="26"/>
      <c r="C152" s="6" t="s">
        <v>582</v>
      </c>
      <c r="D152" s="6" t="s">
        <v>583</v>
      </c>
      <c r="E152" s="6" t="s">
        <v>584</v>
      </c>
      <c r="F152" s="13"/>
      <c r="G152" s="14" t="s">
        <v>30</v>
      </c>
      <c r="H152" s="13"/>
      <c r="I152" s="13"/>
      <c r="J152" s="13"/>
      <c r="K152" s="13"/>
      <c r="L152" s="13"/>
      <c r="M152" s="13" t="s">
        <v>585</v>
      </c>
    </row>
    <row r="153" spans="1:13" ht="32.1" customHeight="1" x14ac:dyDescent="0.2">
      <c r="A153" s="12" t="str">
        <f>$C$4&amp;"-"&amp;TEXT(COUNTA($D$12:D153),"00")</f>
        <v>TC-127</v>
      </c>
      <c r="B153" s="19"/>
      <c r="C153" s="6" t="s">
        <v>586</v>
      </c>
      <c r="D153" s="6" t="s">
        <v>587</v>
      </c>
      <c r="E153" s="6" t="s">
        <v>588</v>
      </c>
      <c r="F153" s="13"/>
      <c r="G153" s="14" t="s">
        <v>30</v>
      </c>
      <c r="H153" s="13"/>
      <c r="I153" s="13"/>
      <c r="J153" s="13"/>
      <c r="K153" s="13"/>
      <c r="L153" s="13"/>
      <c r="M153" s="13" t="s">
        <v>589</v>
      </c>
    </row>
    <row r="154" spans="1:13" ht="63.95" customHeight="1" x14ac:dyDescent="0.2">
      <c r="A154" s="12" t="str">
        <f>$C$4&amp;"-"&amp;TEXT(COUNTA($D$12:D154),"00")</f>
        <v>TC-128</v>
      </c>
      <c r="B154" s="18" t="s">
        <v>205</v>
      </c>
      <c r="C154" s="6" t="s">
        <v>590</v>
      </c>
      <c r="D154" s="6" t="s">
        <v>591</v>
      </c>
      <c r="E154" s="6" t="s">
        <v>592</v>
      </c>
      <c r="F154" s="13"/>
      <c r="G154" s="14" t="s">
        <v>365</v>
      </c>
      <c r="H154" s="13"/>
      <c r="I154" s="13"/>
      <c r="J154" s="13"/>
      <c r="K154" s="13"/>
      <c r="L154" s="13"/>
      <c r="M154" s="13" t="s">
        <v>593</v>
      </c>
    </row>
    <row r="155" spans="1:13" ht="63.95" customHeight="1" x14ac:dyDescent="0.2">
      <c r="A155" s="12" t="str">
        <f>$C$4&amp;"-"&amp;TEXT(COUNTA($D$12:D155),"00")</f>
        <v>TC-129</v>
      </c>
      <c r="B155" s="19"/>
      <c r="C155" s="6" t="s">
        <v>594</v>
      </c>
      <c r="D155" s="6" t="s">
        <v>595</v>
      </c>
      <c r="E155" s="6" t="s">
        <v>596</v>
      </c>
      <c r="F155" s="13"/>
      <c r="G155" s="14" t="s">
        <v>365</v>
      </c>
      <c r="H155" s="13"/>
      <c r="I155" s="13"/>
      <c r="J155" s="13"/>
      <c r="K155" s="13"/>
      <c r="L155" s="13"/>
      <c r="M155" s="13" t="s">
        <v>593</v>
      </c>
    </row>
    <row r="156" spans="1:13" ht="80.099999999999994" customHeight="1" x14ac:dyDescent="0.2">
      <c r="A156" s="12" t="str">
        <f>$C$4&amp;"-"&amp;TEXT(COUNTA($D$12:D156),"00")</f>
        <v>TC-130</v>
      </c>
      <c r="B156" s="18" t="s">
        <v>197</v>
      </c>
      <c r="C156" s="6" t="s">
        <v>597</v>
      </c>
      <c r="D156" s="6" t="s">
        <v>598</v>
      </c>
      <c r="E156" s="6" t="s">
        <v>599</v>
      </c>
      <c r="F156" s="13"/>
      <c r="G156" s="14" t="s">
        <v>365</v>
      </c>
      <c r="H156" s="13"/>
      <c r="I156" s="13"/>
      <c r="J156" s="13"/>
      <c r="K156" s="13"/>
      <c r="L156" s="13"/>
      <c r="M156" s="13" t="s">
        <v>600</v>
      </c>
    </row>
    <row r="157" spans="1:13" ht="80.099999999999994" customHeight="1" x14ac:dyDescent="0.2">
      <c r="A157" s="12" t="str">
        <f>$C$4&amp;"-"&amp;TEXT(COUNTA($D$12:D157),"00")</f>
        <v>TC-131</v>
      </c>
      <c r="B157" s="26"/>
      <c r="C157" s="6" t="s">
        <v>601</v>
      </c>
      <c r="D157" s="6" t="s">
        <v>602</v>
      </c>
      <c r="E157" s="6" t="s">
        <v>603</v>
      </c>
      <c r="F157" s="13"/>
      <c r="G157" s="14" t="s">
        <v>365</v>
      </c>
      <c r="H157" s="13"/>
      <c r="I157" s="13"/>
      <c r="J157" s="13"/>
      <c r="K157" s="13"/>
      <c r="L157" s="13"/>
      <c r="M157" s="13" t="s">
        <v>604</v>
      </c>
    </row>
    <row r="158" spans="1:13" ht="111.95" customHeight="1" x14ac:dyDescent="0.2">
      <c r="A158" s="12" t="str">
        <f>$C$4&amp;"-"&amp;TEXT(COUNTA($D$12:D158),"00")</f>
        <v>TC-132</v>
      </c>
      <c r="B158" s="19"/>
      <c r="C158" s="6" t="s">
        <v>605</v>
      </c>
      <c r="D158" s="6" t="s">
        <v>606</v>
      </c>
      <c r="E158" s="6" t="s">
        <v>607</v>
      </c>
      <c r="F158" s="13"/>
      <c r="G158" s="14" t="s">
        <v>365</v>
      </c>
      <c r="H158" s="13"/>
      <c r="I158" s="13"/>
      <c r="J158" s="13"/>
      <c r="K158" s="13"/>
      <c r="L158" s="13"/>
      <c r="M158" s="13" t="s">
        <v>608</v>
      </c>
    </row>
    <row r="159" spans="1:13" ht="80.099999999999994" customHeight="1" x14ac:dyDescent="0.2">
      <c r="A159" s="12" t="str">
        <f>$C$4&amp;"-"&amp;TEXT(COUNTA($D$12:D159),"00")</f>
        <v>TC-133</v>
      </c>
      <c r="B159" s="6" t="s">
        <v>609</v>
      </c>
      <c r="C159" s="6" t="s">
        <v>610</v>
      </c>
      <c r="D159" s="6" t="s">
        <v>611</v>
      </c>
      <c r="E159" s="6" t="s">
        <v>612</v>
      </c>
      <c r="F159" s="13"/>
      <c r="G159" s="14" t="s">
        <v>365</v>
      </c>
      <c r="H159" s="13"/>
      <c r="I159" s="13"/>
      <c r="J159" s="13"/>
      <c r="K159" s="13"/>
      <c r="L159" s="13"/>
      <c r="M159" s="13" t="s">
        <v>613</v>
      </c>
    </row>
    <row r="160" spans="1:13" ht="32.1" customHeight="1" x14ac:dyDescent="0.2">
      <c r="A160" s="12" t="str">
        <f>$C$4&amp;"-"&amp;TEXT(COUNTA($D$12:D160),"00")</f>
        <v>TC-134</v>
      </c>
      <c r="B160" s="18" t="s">
        <v>614</v>
      </c>
      <c r="C160" s="6" t="s">
        <v>615</v>
      </c>
      <c r="D160" s="6" t="s">
        <v>616</v>
      </c>
      <c r="E160" s="6" t="s">
        <v>617</v>
      </c>
      <c r="F160" s="13"/>
      <c r="G160" s="14" t="s">
        <v>30</v>
      </c>
      <c r="H160" s="13"/>
      <c r="I160" s="13"/>
      <c r="J160" s="13"/>
      <c r="K160" s="13"/>
      <c r="L160" s="13"/>
      <c r="M160" s="13" t="s">
        <v>618</v>
      </c>
    </row>
    <row r="161" spans="1:13" ht="48" customHeight="1" x14ac:dyDescent="0.2">
      <c r="A161" s="12" t="str">
        <f>$C$4&amp;"-"&amp;TEXT(COUNTA($D$12:D161),"00")</f>
        <v>TC-135</v>
      </c>
      <c r="B161" s="19"/>
      <c r="C161" s="6" t="s">
        <v>619</v>
      </c>
      <c r="D161" s="6" t="s">
        <v>620</v>
      </c>
      <c r="E161" s="6" t="s">
        <v>621</v>
      </c>
      <c r="F161" s="13" t="s">
        <v>622</v>
      </c>
      <c r="G161" s="14" t="s">
        <v>365</v>
      </c>
      <c r="H161" s="13"/>
      <c r="I161" s="13"/>
      <c r="J161" s="13"/>
      <c r="K161" s="13"/>
      <c r="L161" s="13"/>
      <c r="M161" s="13" t="s">
        <v>623</v>
      </c>
    </row>
    <row r="162" spans="1:13" ht="32.1" customHeight="1" x14ac:dyDescent="0.2">
      <c r="A162" s="12" t="str">
        <f>$C$4&amp;"-"&amp;TEXT(COUNTA($D$12:D162),"00")</f>
        <v>TC-136</v>
      </c>
      <c r="B162" s="6" t="s">
        <v>624</v>
      </c>
      <c r="C162" s="6" t="s">
        <v>625</v>
      </c>
      <c r="D162" s="6" t="s">
        <v>626</v>
      </c>
      <c r="E162" s="6" t="s">
        <v>627</v>
      </c>
      <c r="F162" s="13"/>
      <c r="G162" s="14" t="s">
        <v>30</v>
      </c>
      <c r="H162" s="13"/>
      <c r="I162" s="13"/>
      <c r="J162" s="13"/>
      <c r="K162" s="13"/>
      <c r="L162" s="13"/>
      <c r="M162" s="13" t="s">
        <v>628</v>
      </c>
    </row>
    <row r="163" spans="1:13" ht="63.95" customHeight="1" x14ac:dyDescent="0.2">
      <c r="A163" s="12" t="str">
        <f>$C$4&amp;"-"&amp;TEXT(COUNTA($D$12:D163),"00")</f>
        <v>TC-137</v>
      </c>
      <c r="B163" s="6" t="s">
        <v>629</v>
      </c>
      <c r="C163" s="6" t="s">
        <v>630</v>
      </c>
      <c r="D163" s="6" t="s">
        <v>631</v>
      </c>
      <c r="E163" s="6" t="s">
        <v>632</v>
      </c>
      <c r="F163" s="13"/>
      <c r="G163" s="14" t="s">
        <v>365</v>
      </c>
      <c r="H163" s="13"/>
      <c r="I163" s="13"/>
      <c r="J163" s="13"/>
      <c r="K163" s="13"/>
      <c r="L163" s="13"/>
      <c r="M163" s="13" t="s">
        <v>633</v>
      </c>
    </row>
    <row r="164" spans="1:13" ht="63.95" customHeight="1" x14ac:dyDescent="0.2">
      <c r="A164" s="12" t="str">
        <f>$C$4&amp;"-"&amp;TEXT(COUNTA($D$12:D164),"00")</f>
        <v>TC-138</v>
      </c>
      <c r="B164" s="18" t="s">
        <v>634</v>
      </c>
      <c r="C164" s="6" t="s">
        <v>635</v>
      </c>
      <c r="D164" s="6" t="s">
        <v>636</v>
      </c>
      <c r="E164" s="6" t="s">
        <v>637</v>
      </c>
      <c r="F164" s="13"/>
      <c r="G164" s="14" t="s">
        <v>30</v>
      </c>
      <c r="H164" s="13"/>
      <c r="I164" s="13"/>
      <c r="J164" s="13"/>
      <c r="K164" s="13"/>
      <c r="L164" s="13"/>
      <c r="M164" s="13" t="s">
        <v>638</v>
      </c>
    </row>
    <row r="165" spans="1:13" ht="48" customHeight="1" x14ac:dyDescent="0.2">
      <c r="A165" s="12" t="str">
        <f>$C$4&amp;"-"&amp;TEXT(COUNTA($D$12:D165),"00")</f>
        <v>TC-139</v>
      </c>
      <c r="B165" s="19"/>
      <c r="C165" s="6" t="s">
        <v>639</v>
      </c>
      <c r="D165" s="6" t="s">
        <v>640</v>
      </c>
      <c r="E165" s="6" t="s">
        <v>641</v>
      </c>
      <c r="F165" s="13"/>
      <c r="G165" s="14" t="s">
        <v>30</v>
      </c>
      <c r="H165" s="13"/>
      <c r="I165" s="13"/>
      <c r="J165" s="13"/>
      <c r="K165" s="13"/>
      <c r="L165" s="13"/>
      <c r="M165" s="13" t="s">
        <v>642</v>
      </c>
    </row>
    <row r="166" spans="1:13" ht="48" customHeight="1" x14ac:dyDescent="0.2">
      <c r="A166" s="12" t="str">
        <f>$C$4&amp;"-"&amp;TEXT(COUNTA($D$12:D166),"00")</f>
        <v>TC-140</v>
      </c>
      <c r="B166" s="18" t="s">
        <v>643</v>
      </c>
      <c r="C166" s="6" t="s">
        <v>644</v>
      </c>
      <c r="D166" s="6" t="s">
        <v>645</v>
      </c>
      <c r="E166" s="6" t="s">
        <v>646</v>
      </c>
      <c r="F166" s="13"/>
      <c r="G166" s="14" t="s">
        <v>30</v>
      </c>
      <c r="H166" s="13"/>
      <c r="I166" s="13"/>
      <c r="J166" s="13"/>
      <c r="K166" s="13"/>
      <c r="L166" s="13"/>
      <c r="M166" s="13" t="s">
        <v>647</v>
      </c>
    </row>
    <row r="167" spans="1:13" ht="48" customHeight="1" x14ac:dyDescent="0.2">
      <c r="A167" s="12" t="str">
        <f>$C$4&amp;"-"&amp;TEXT(COUNTA($D$12:D167),"00")</f>
        <v>TC-141</v>
      </c>
      <c r="B167" s="19"/>
      <c r="C167" s="6" t="s">
        <v>648</v>
      </c>
      <c r="D167" s="6" t="s">
        <v>649</v>
      </c>
      <c r="E167" s="6" t="s">
        <v>650</v>
      </c>
      <c r="F167" s="13"/>
      <c r="G167" s="14" t="s">
        <v>30</v>
      </c>
      <c r="H167" s="13"/>
      <c r="I167" s="13"/>
      <c r="J167" s="13"/>
      <c r="K167" s="13"/>
      <c r="L167" s="13"/>
      <c r="M167" s="13" t="s">
        <v>647</v>
      </c>
    </row>
    <row r="168" spans="1:13" ht="63.95" customHeight="1" x14ac:dyDescent="0.2">
      <c r="A168" s="12" t="str">
        <f>$C$4&amp;"-"&amp;TEXT(COUNTA($D$12:D168),"00")</f>
        <v>TC-142</v>
      </c>
      <c r="B168" s="6" t="s">
        <v>651</v>
      </c>
      <c r="C168" s="6" t="s">
        <v>652</v>
      </c>
      <c r="D168" s="6" t="s">
        <v>653</v>
      </c>
      <c r="E168" s="6" t="s">
        <v>654</v>
      </c>
      <c r="F168" s="13"/>
      <c r="G168" s="14" t="s">
        <v>30</v>
      </c>
      <c r="H168" s="13"/>
      <c r="I168" s="13"/>
      <c r="J168" s="13"/>
      <c r="K168" s="13"/>
      <c r="L168" s="13"/>
      <c r="M168" s="13" t="s">
        <v>655</v>
      </c>
    </row>
    <row r="169" spans="1:13" ht="48" customHeight="1" x14ac:dyDescent="0.2">
      <c r="A169" s="12" t="str">
        <f>$C$4&amp;"-"&amp;TEXT(COUNTA($D$12:D169),"00")</f>
        <v>TC-143</v>
      </c>
      <c r="B169" s="18" t="s">
        <v>324</v>
      </c>
      <c r="C169" s="6" t="s">
        <v>656</v>
      </c>
      <c r="D169" s="6" t="s">
        <v>657</v>
      </c>
      <c r="E169" s="6" t="s">
        <v>658</v>
      </c>
      <c r="F169" s="13"/>
      <c r="G169" s="14" t="s">
        <v>30</v>
      </c>
      <c r="H169" s="13"/>
      <c r="I169" s="13"/>
      <c r="J169" s="13"/>
      <c r="K169" s="13"/>
      <c r="L169" s="13"/>
      <c r="M169" s="13" t="s">
        <v>659</v>
      </c>
    </row>
    <row r="170" spans="1:13" ht="48" customHeight="1" x14ac:dyDescent="0.2">
      <c r="A170" s="12" t="str">
        <f>$C$4&amp;"-"&amp;TEXT(COUNTA($D$12:D170),"00")</f>
        <v>TC-144</v>
      </c>
      <c r="B170" s="19"/>
      <c r="C170" s="6" t="s">
        <v>660</v>
      </c>
      <c r="D170" s="6" t="s">
        <v>661</v>
      </c>
      <c r="E170" s="6" t="s">
        <v>662</v>
      </c>
      <c r="F170" s="13"/>
      <c r="G170" s="14" t="s">
        <v>30</v>
      </c>
      <c r="H170" s="13"/>
      <c r="I170" s="13"/>
      <c r="J170" s="13"/>
      <c r="K170" s="13"/>
      <c r="L170" s="13"/>
      <c r="M170" s="13" t="s">
        <v>659</v>
      </c>
    </row>
    <row r="171" spans="1:13" ht="48" customHeight="1" x14ac:dyDescent="0.2">
      <c r="A171" s="12" t="str">
        <f>$C$4&amp;"-"&amp;TEXT(COUNTA($D$12:D171),"00")</f>
        <v>TC-145</v>
      </c>
      <c r="B171" s="6" t="s">
        <v>329</v>
      </c>
      <c r="C171" s="6" t="s">
        <v>663</v>
      </c>
      <c r="D171" s="6" t="s">
        <v>664</v>
      </c>
      <c r="E171" s="6" t="s">
        <v>665</v>
      </c>
      <c r="F171" s="13"/>
      <c r="G171" s="14" t="s">
        <v>30</v>
      </c>
      <c r="H171" s="13"/>
      <c r="I171" s="13"/>
      <c r="J171" s="13"/>
      <c r="K171" s="13"/>
      <c r="L171" s="13"/>
      <c r="M171" s="13" t="s">
        <v>666</v>
      </c>
    </row>
    <row r="172" spans="1:13" ht="48" customHeight="1" x14ac:dyDescent="0.2">
      <c r="A172" s="12" t="str">
        <f>$C$4&amp;"-"&amp;TEXT(COUNTA($D$12:D172),"00")</f>
        <v>TC-146</v>
      </c>
      <c r="B172" s="6" t="s">
        <v>667</v>
      </c>
      <c r="C172" s="6" t="s">
        <v>668</v>
      </c>
      <c r="D172" s="6" t="s">
        <v>669</v>
      </c>
      <c r="E172" s="6" t="s">
        <v>670</v>
      </c>
      <c r="F172" s="13"/>
      <c r="G172" s="14" t="s">
        <v>365</v>
      </c>
      <c r="H172" s="13"/>
      <c r="I172" s="13"/>
      <c r="J172" s="13"/>
      <c r="K172" s="13"/>
      <c r="L172" s="13"/>
      <c r="M172" s="13" t="s">
        <v>671</v>
      </c>
    </row>
    <row r="173" spans="1:13" ht="48" customHeight="1" x14ac:dyDescent="0.2">
      <c r="A173" s="12" t="str">
        <f>$C$4&amp;"-"&amp;TEXT(COUNTA($D$12:D173),"00")</f>
        <v>TC-147</v>
      </c>
      <c r="B173" s="6" t="s">
        <v>344</v>
      </c>
      <c r="C173" s="6" t="s">
        <v>672</v>
      </c>
      <c r="D173" s="6" t="s">
        <v>673</v>
      </c>
      <c r="E173" s="6" t="s">
        <v>674</v>
      </c>
      <c r="F173" s="13"/>
      <c r="G173" s="14" t="s">
        <v>30</v>
      </c>
      <c r="H173" s="13"/>
      <c r="I173" s="13"/>
      <c r="J173" s="13"/>
      <c r="K173" s="13"/>
      <c r="L173" s="13"/>
      <c r="M173" s="13" t="s">
        <v>675</v>
      </c>
    </row>
    <row r="174" spans="1:13" ht="48" customHeight="1" x14ac:dyDescent="0.2">
      <c r="A174" s="12" t="str">
        <f>$C$4&amp;"-"&amp;TEXT(COUNTA($D$12:D174),"00")</f>
        <v>TC-148</v>
      </c>
      <c r="B174" s="18" t="s">
        <v>676</v>
      </c>
      <c r="C174" s="6" t="s">
        <v>677</v>
      </c>
      <c r="D174" s="6" t="s">
        <v>678</v>
      </c>
      <c r="E174" s="6" t="s">
        <v>679</v>
      </c>
      <c r="F174" s="13"/>
      <c r="G174" s="14" t="s">
        <v>30</v>
      </c>
      <c r="H174" s="13"/>
      <c r="I174" s="13"/>
      <c r="J174" s="13"/>
      <c r="K174" s="13"/>
      <c r="L174" s="13"/>
      <c r="M174" s="13" t="s">
        <v>680</v>
      </c>
    </row>
    <row r="175" spans="1:13" ht="48" customHeight="1" x14ac:dyDescent="0.2">
      <c r="A175" s="12" t="str">
        <f>$C$4&amp;"-"&amp;TEXT(COUNTA($D$12:D175),"00")</f>
        <v>TC-149</v>
      </c>
      <c r="B175" s="26"/>
      <c r="C175" s="6" t="s">
        <v>681</v>
      </c>
      <c r="D175" s="6" t="s">
        <v>682</v>
      </c>
      <c r="E175" s="6" t="s">
        <v>683</v>
      </c>
      <c r="F175" s="13"/>
      <c r="G175" s="14" t="s">
        <v>30</v>
      </c>
      <c r="H175" s="13"/>
      <c r="I175" s="13"/>
      <c r="J175" s="13"/>
      <c r="K175" s="13"/>
      <c r="L175" s="13"/>
      <c r="M175" s="13" t="s">
        <v>684</v>
      </c>
    </row>
    <row r="176" spans="1:13" ht="96" customHeight="1" x14ac:dyDescent="0.2">
      <c r="A176" s="12" t="str">
        <f>$C$4&amp;"-"&amp;TEXT(COUNTA($D$12:D176),"00")</f>
        <v>TC-150</v>
      </c>
      <c r="B176" s="19"/>
      <c r="C176" s="6" t="s">
        <v>685</v>
      </c>
      <c r="D176" s="6" t="s">
        <v>686</v>
      </c>
      <c r="E176" s="6" t="s">
        <v>687</v>
      </c>
      <c r="F176" s="13"/>
      <c r="G176" s="14" t="s">
        <v>365</v>
      </c>
      <c r="H176" s="13"/>
      <c r="I176" s="13"/>
      <c r="J176" s="13"/>
      <c r="K176" s="13"/>
      <c r="L176" s="13"/>
      <c r="M176" s="13" t="s">
        <v>688</v>
      </c>
    </row>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sheetData>
  <mergeCells count="75">
    <mergeCell ref="B174:B176"/>
    <mergeCell ref="B46:B47"/>
    <mergeCell ref="B15:B19"/>
    <mergeCell ref="A6:B6"/>
    <mergeCell ref="B136:B139"/>
    <mergeCell ref="B166:B167"/>
    <mergeCell ref="B48:B49"/>
    <mergeCell ref="B10:B11"/>
    <mergeCell ref="B32:B34"/>
    <mergeCell ref="B65:B66"/>
    <mergeCell ref="B154:B155"/>
    <mergeCell ref="A150:K150"/>
    <mergeCell ref="A20:K20"/>
    <mergeCell ref="B41:B42"/>
    <mergeCell ref="B76:B79"/>
    <mergeCell ref="B50:B51"/>
    <mergeCell ref="B164:B165"/>
    <mergeCell ref="A14:K14"/>
    <mergeCell ref="I10:I11"/>
    <mergeCell ref="K10:K11"/>
    <mergeCell ref="A40:K40"/>
    <mergeCell ref="A67:K67"/>
    <mergeCell ref="B59:B60"/>
    <mergeCell ref="B160:B161"/>
    <mergeCell ref="A93:K93"/>
    <mergeCell ref="F10:F11"/>
    <mergeCell ref="A1:B1"/>
    <mergeCell ref="B73:B74"/>
    <mergeCell ref="B80:B82"/>
    <mergeCell ref="B111:B114"/>
    <mergeCell ref="B57:B58"/>
    <mergeCell ref="A92:M92"/>
    <mergeCell ref="A3:B3"/>
    <mergeCell ref="B83:B84"/>
    <mergeCell ref="B106:B110"/>
    <mergeCell ref="B122:B128"/>
    <mergeCell ref="A5:B5"/>
    <mergeCell ref="B94:B102"/>
    <mergeCell ref="L10:L11"/>
    <mergeCell ref="B169:B170"/>
    <mergeCell ref="A9:B9"/>
    <mergeCell ref="H10:H11"/>
    <mergeCell ref="J10:J11"/>
    <mergeCell ref="A12:C12"/>
    <mergeCell ref="B145:B146"/>
    <mergeCell ref="B69:B70"/>
    <mergeCell ref="B156:B158"/>
    <mergeCell ref="B35:B39"/>
    <mergeCell ref="B44:B45"/>
    <mergeCell ref="A105:K105"/>
    <mergeCell ref="B25:B29"/>
    <mergeCell ref="A10:A11"/>
    <mergeCell ref="B115:B121"/>
    <mergeCell ref="B151:B153"/>
    <mergeCell ref="B30:B31"/>
    <mergeCell ref="B142:B143"/>
    <mergeCell ref="B21:B23"/>
    <mergeCell ref="A85:K85"/>
    <mergeCell ref="B54:B55"/>
    <mergeCell ref="A141:K141"/>
    <mergeCell ref="A131:K131"/>
    <mergeCell ref="A7:B7"/>
    <mergeCell ref="B132:B135"/>
    <mergeCell ref="C1:M1"/>
    <mergeCell ref="A91:C91"/>
    <mergeCell ref="A56:K56"/>
    <mergeCell ref="D10:D11"/>
    <mergeCell ref="M10:M11"/>
    <mergeCell ref="A8:B8"/>
    <mergeCell ref="A2:B2"/>
    <mergeCell ref="B61:B62"/>
    <mergeCell ref="C10:C11"/>
    <mergeCell ref="E10:E11"/>
    <mergeCell ref="G10:G11"/>
    <mergeCell ref="A13:M13"/>
  </mergeCells>
  <conditionalFormatting sqref="K101 K136:K141 K162:K167 K177">
    <cfRule type="containsText" dxfId="1" priority="1" operator="containsText" text="P">
      <formula>NOT(ISERROR(SEARCH(("P"),(K101))))</formula>
    </cfRule>
    <cfRule type="containsText" dxfId="0" priority="2" operator="containsText" text="F">
      <formula>NOT(ISERROR(SEARCH(("F"),(K101))))</formula>
    </cfRule>
  </conditionalFormatting>
  <dataValidations count="1">
    <dataValidation type="list" allowBlank="1" sqref="K15:K176" xr:uid="{00000000-0002-0000-0000-000000000000}">
      <formula1>"Pass,Fail,Pending,N/A"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3"/>
  <sheetViews>
    <sheetView workbookViewId="0"/>
  </sheetViews>
  <sheetFormatPr defaultRowHeight="12.75" x14ac:dyDescent="0.2"/>
  <cols>
    <col min="1" max="1" width="34" customWidth="1"/>
    <col min="2" max="6" width="22" customWidth="1"/>
  </cols>
  <sheetData>
    <row r="1" spans="1:5" ht="16.5" x14ac:dyDescent="0.25">
      <c r="A1" s="15" t="s">
        <v>689</v>
      </c>
    </row>
    <row r="3" spans="1:5" ht="45" customHeight="1" x14ac:dyDescent="0.2">
      <c r="A3" s="16" t="s">
        <v>690</v>
      </c>
      <c r="B3" s="16" t="s">
        <v>691</v>
      </c>
      <c r="C3" s="16" t="s">
        <v>692</v>
      </c>
      <c r="D3" s="16" t="s">
        <v>693</v>
      </c>
      <c r="E3" s="16" t="s">
        <v>694</v>
      </c>
    </row>
    <row r="4" spans="1:5" ht="32.1" customHeight="1" x14ac:dyDescent="0.2">
      <c r="A4" s="17" t="s">
        <v>81</v>
      </c>
      <c r="B4" s="17" t="s">
        <v>695</v>
      </c>
      <c r="C4" s="17" t="s">
        <v>695</v>
      </c>
      <c r="D4" s="17" t="s">
        <v>695</v>
      </c>
      <c r="E4" s="17" t="s">
        <v>695</v>
      </c>
    </row>
    <row r="5" spans="1:5" ht="32.1" customHeight="1" x14ac:dyDescent="0.2">
      <c r="A5" s="17" t="s">
        <v>696</v>
      </c>
      <c r="B5" s="17" t="s">
        <v>697</v>
      </c>
      <c r="C5" s="17" t="s">
        <v>697</v>
      </c>
      <c r="D5" s="17" t="s">
        <v>697</v>
      </c>
      <c r="E5" s="17" t="s">
        <v>697</v>
      </c>
    </row>
    <row r="6" spans="1:5" ht="32.1" customHeight="1" x14ac:dyDescent="0.2">
      <c r="A6" s="17" t="s">
        <v>698</v>
      </c>
      <c r="B6" s="17" t="s">
        <v>699</v>
      </c>
      <c r="C6" s="17" t="s">
        <v>700</v>
      </c>
      <c r="D6" s="17" t="s">
        <v>701</v>
      </c>
      <c r="E6" s="17" t="s">
        <v>700</v>
      </c>
    </row>
    <row r="7" spans="1:5" ht="32.1" customHeight="1" x14ac:dyDescent="0.2">
      <c r="A7" s="17" t="s">
        <v>103</v>
      </c>
      <c r="B7" s="17" t="s">
        <v>702</v>
      </c>
      <c r="C7" s="17" t="s">
        <v>703</v>
      </c>
      <c r="D7" s="17" t="s">
        <v>703</v>
      </c>
      <c r="E7" s="17" t="s">
        <v>703</v>
      </c>
    </row>
    <row r="10" spans="1:5" ht="16.5" x14ac:dyDescent="0.25">
      <c r="A10" s="15" t="s">
        <v>704</v>
      </c>
    </row>
    <row r="12" spans="1:5" ht="45" customHeight="1" x14ac:dyDescent="0.2">
      <c r="A12" s="16" t="s">
        <v>705</v>
      </c>
      <c r="B12" s="16" t="s">
        <v>706</v>
      </c>
      <c r="C12" s="16" t="s">
        <v>707</v>
      </c>
    </row>
    <row r="13" spans="1:5" ht="32.1" customHeight="1" x14ac:dyDescent="0.2">
      <c r="A13" s="17" t="s">
        <v>708</v>
      </c>
      <c r="B13" s="17" t="s">
        <v>702</v>
      </c>
      <c r="C13" s="17" t="s">
        <v>703</v>
      </c>
    </row>
    <row r="14" spans="1:5" ht="32.1" customHeight="1" x14ac:dyDescent="0.2">
      <c r="A14" s="17" t="s">
        <v>709</v>
      </c>
      <c r="B14" s="17" t="s">
        <v>702</v>
      </c>
      <c r="C14" s="17" t="s">
        <v>703</v>
      </c>
    </row>
    <row r="15" spans="1:5" ht="32.1" customHeight="1" x14ac:dyDescent="0.2">
      <c r="A15" s="17" t="s">
        <v>228</v>
      </c>
      <c r="B15" s="17" t="s">
        <v>703</v>
      </c>
      <c r="C15" s="17" t="s">
        <v>702</v>
      </c>
    </row>
    <row r="18" spans="1:6" ht="16.5" x14ac:dyDescent="0.25">
      <c r="A18" s="15" t="s">
        <v>710</v>
      </c>
    </row>
    <row r="20" spans="1:6" ht="45" customHeight="1" x14ac:dyDescent="0.2">
      <c r="A20" s="16" t="s">
        <v>711</v>
      </c>
      <c r="B20" s="16" t="s">
        <v>712</v>
      </c>
      <c r="C20" s="16" t="s">
        <v>713</v>
      </c>
      <c r="D20" s="16" t="s">
        <v>714</v>
      </c>
      <c r="E20" s="16" t="s">
        <v>715</v>
      </c>
      <c r="F20" s="16" t="s">
        <v>716</v>
      </c>
    </row>
    <row r="21" spans="1:6" ht="32.1" customHeight="1" x14ac:dyDescent="0.2">
      <c r="A21" s="17" t="s">
        <v>213</v>
      </c>
      <c r="B21" s="17" t="s">
        <v>706</v>
      </c>
      <c r="C21" s="17" t="s">
        <v>706</v>
      </c>
      <c r="D21" s="17" t="s">
        <v>706</v>
      </c>
      <c r="E21" s="17" t="s">
        <v>707</v>
      </c>
      <c r="F21" s="17" t="s">
        <v>707</v>
      </c>
    </row>
    <row r="22" spans="1:6" ht="32.1" customHeight="1" x14ac:dyDescent="0.2">
      <c r="A22" s="17" t="s">
        <v>717</v>
      </c>
      <c r="B22" s="17" t="s">
        <v>718</v>
      </c>
      <c r="C22" s="17" t="s">
        <v>719</v>
      </c>
      <c r="D22" s="17" t="s">
        <v>719</v>
      </c>
      <c r="E22" s="17" t="s">
        <v>720</v>
      </c>
      <c r="F22" s="17" t="s">
        <v>720</v>
      </c>
    </row>
    <row r="23" spans="1:6" ht="32.1" customHeight="1" x14ac:dyDescent="0.2">
      <c r="A23" s="17" t="s">
        <v>721</v>
      </c>
      <c r="B23" s="17" t="s">
        <v>722</v>
      </c>
      <c r="C23" s="17" t="s">
        <v>722</v>
      </c>
      <c r="D23" s="17" t="s">
        <v>723</v>
      </c>
      <c r="E23" s="17" t="s">
        <v>720</v>
      </c>
      <c r="F23" s="17" t="s">
        <v>720</v>
      </c>
    </row>
    <row r="24" spans="1:6" ht="32.1" customHeight="1" x14ac:dyDescent="0.2">
      <c r="A24" s="17" t="s">
        <v>228</v>
      </c>
      <c r="B24" s="17" t="s">
        <v>720</v>
      </c>
      <c r="C24" s="17" t="s">
        <v>720</v>
      </c>
      <c r="D24" s="17" t="s">
        <v>720</v>
      </c>
      <c r="E24" s="17" t="s">
        <v>724</v>
      </c>
      <c r="F24" s="17" t="s">
        <v>725</v>
      </c>
    </row>
    <row r="25" spans="1:6" ht="32.1" customHeight="1" x14ac:dyDescent="0.2">
      <c r="A25" s="17" t="s">
        <v>726</v>
      </c>
      <c r="B25" s="17" t="s">
        <v>727</v>
      </c>
      <c r="C25" s="17" t="s">
        <v>727</v>
      </c>
      <c r="D25" s="17" t="s">
        <v>728</v>
      </c>
      <c r="E25" s="17" t="s">
        <v>729</v>
      </c>
      <c r="F25" s="17" t="s">
        <v>729</v>
      </c>
    </row>
    <row r="26" spans="1:6" ht="32.1" customHeight="1" x14ac:dyDescent="0.2">
      <c r="A26" s="17" t="s">
        <v>730</v>
      </c>
      <c r="B26" s="17" t="s">
        <v>692</v>
      </c>
      <c r="C26" s="17" t="s">
        <v>693</v>
      </c>
      <c r="D26" s="17" t="s">
        <v>694</v>
      </c>
      <c r="E26" s="17" t="s">
        <v>693</v>
      </c>
      <c r="F26" s="17" t="s">
        <v>694</v>
      </c>
    </row>
    <row r="27" spans="1:6" ht="32.1" customHeight="1" x14ac:dyDescent="0.2">
      <c r="A27" s="17" t="s">
        <v>731</v>
      </c>
      <c r="B27" s="17" t="s">
        <v>732</v>
      </c>
      <c r="C27" s="17" t="s">
        <v>733</v>
      </c>
      <c r="D27" s="17" t="s">
        <v>734</v>
      </c>
      <c r="E27" s="17" t="s">
        <v>733</v>
      </c>
      <c r="F27" s="17" t="s">
        <v>734</v>
      </c>
    </row>
    <row r="30" spans="1:6" ht="16.5" x14ac:dyDescent="0.25">
      <c r="A30" s="15" t="s">
        <v>735</v>
      </c>
    </row>
    <row r="32" spans="1:6" ht="45" customHeight="1" x14ac:dyDescent="0.2">
      <c r="A32" s="16" t="s">
        <v>736</v>
      </c>
      <c r="B32" s="16" t="s">
        <v>737</v>
      </c>
      <c r="C32" s="16" t="s">
        <v>738</v>
      </c>
      <c r="D32" s="16" t="s">
        <v>739</v>
      </c>
    </row>
    <row r="33" spans="1:4" ht="32.1" customHeight="1" x14ac:dyDescent="0.2">
      <c r="A33" s="17" t="s">
        <v>708</v>
      </c>
      <c r="B33" s="17" t="s">
        <v>740</v>
      </c>
      <c r="C33" s="17" t="s">
        <v>741</v>
      </c>
      <c r="D33" s="17" t="s">
        <v>742</v>
      </c>
    </row>
    <row r="34" spans="1:4" ht="32.1" customHeight="1" x14ac:dyDescent="0.2">
      <c r="A34" s="17" t="s">
        <v>709</v>
      </c>
      <c r="B34" s="17" t="s">
        <v>743</v>
      </c>
      <c r="C34" s="17" t="s">
        <v>744</v>
      </c>
      <c r="D34" s="17" t="s">
        <v>745</v>
      </c>
    </row>
    <row r="35" spans="1:4" ht="32.1" customHeight="1" x14ac:dyDescent="0.2">
      <c r="A35" s="17" t="s">
        <v>746</v>
      </c>
      <c r="B35" s="17" t="s">
        <v>747</v>
      </c>
      <c r="C35" s="17" t="s">
        <v>748</v>
      </c>
      <c r="D35" s="17" t="s">
        <v>749</v>
      </c>
    </row>
    <row r="36" spans="1:4" ht="32.1" customHeight="1" x14ac:dyDescent="0.2">
      <c r="A36" s="17" t="s">
        <v>750</v>
      </c>
      <c r="B36" s="17" t="s">
        <v>720</v>
      </c>
      <c r="C36" s="17" t="s">
        <v>751</v>
      </c>
      <c r="D36" s="17" t="s">
        <v>752</v>
      </c>
    </row>
    <row r="39" spans="1:4" ht="16.5" x14ac:dyDescent="0.25">
      <c r="A39" s="15" t="s">
        <v>753</v>
      </c>
    </row>
    <row r="41" spans="1:4" ht="45" customHeight="1" x14ac:dyDescent="0.2">
      <c r="A41" s="16" t="s">
        <v>754</v>
      </c>
      <c r="B41" s="16" t="s">
        <v>755</v>
      </c>
      <c r="C41" s="16" t="s">
        <v>756</v>
      </c>
      <c r="D41" s="16" t="s">
        <v>757</v>
      </c>
    </row>
    <row r="42" spans="1:4" ht="32.1" customHeight="1" x14ac:dyDescent="0.2">
      <c r="A42" s="17" t="s">
        <v>691</v>
      </c>
      <c r="B42" s="17" t="s">
        <v>758</v>
      </c>
      <c r="C42" s="17" t="s">
        <v>692</v>
      </c>
      <c r="D42" s="17" t="s">
        <v>759</v>
      </c>
    </row>
    <row r="43" spans="1:4" ht="32.1" customHeight="1" x14ac:dyDescent="0.2">
      <c r="A43" s="17" t="s">
        <v>691</v>
      </c>
      <c r="B43" s="17" t="s">
        <v>760</v>
      </c>
      <c r="C43" s="17" t="s">
        <v>693</v>
      </c>
      <c r="D43" s="17" t="s">
        <v>759</v>
      </c>
    </row>
    <row r="44" spans="1:4" ht="32.1" customHeight="1" x14ac:dyDescent="0.2">
      <c r="A44" s="17" t="s">
        <v>691</v>
      </c>
      <c r="B44" s="17" t="s">
        <v>761</v>
      </c>
      <c r="C44" s="17" t="s">
        <v>694</v>
      </c>
      <c r="D44" s="17" t="s">
        <v>762</v>
      </c>
    </row>
    <row r="45" spans="1:4" ht="32.1" customHeight="1" x14ac:dyDescent="0.2">
      <c r="A45" s="17" t="s">
        <v>691</v>
      </c>
      <c r="B45" s="17" t="s">
        <v>763</v>
      </c>
      <c r="C45" s="17" t="s">
        <v>691</v>
      </c>
      <c r="D45" s="17" t="s">
        <v>764</v>
      </c>
    </row>
    <row r="46" spans="1:4" ht="32.1" customHeight="1" x14ac:dyDescent="0.2">
      <c r="A46" s="17" t="s">
        <v>691</v>
      </c>
      <c r="B46" s="17" t="s">
        <v>765</v>
      </c>
      <c r="C46" s="17" t="s">
        <v>766</v>
      </c>
      <c r="D46" s="17" t="s">
        <v>764</v>
      </c>
    </row>
    <row r="47" spans="1:4" ht="32.1" customHeight="1" x14ac:dyDescent="0.2">
      <c r="A47" s="17" t="s">
        <v>691</v>
      </c>
      <c r="B47" s="17" t="s">
        <v>767</v>
      </c>
      <c r="C47" s="17" t="s">
        <v>691</v>
      </c>
      <c r="D47" s="17" t="s">
        <v>764</v>
      </c>
    </row>
    <row r="48" spans="1:4" ht="32.1" customHeight="1" x14ac:dyDescent="0.2">
      <c r="A48" s="17" t="s">
        <v>692</v>
      </c>
      <c r="B48" s="17" t="s">
        <v>768</v>
      </c>
      <c r="C48" s="17" t="s">
        <v>693</v>
      </c>
      <c r="D48" s="17" t="s">
        <v>759</v>
      </c>
    </row>
    <row r="49" spans="1:5" ht="32.1" customHeight="1" x14ac:dyDescent="0.2">
      <c r="A49" s="17" t="s">
        <v>693</v>
      </c>
      <c r="B49" s="17" t="s">
        <v>769</v>
      </c>
      <c r="C49" s="17" t="s">
        <v>694</v>
      </c>
      <c r="D49" s="17" t="s">
        <v>759</v>
      </c>
    </row>
    <row r="50" spans="1:5" ht="32.1" customHeight="1" x14ac:dyDescent="0.2">
      <c r="A50" s="17" t="s">
        <v>770</v>
      </c>
      <c r="B50" s="17" t="s">
        <v>771</v>
      </c>
      <c r="C50" s="17" t="s">
        <v>772</v>
      </c>
      <c r="D50" s="17" t="s">
        <v>773</v>
      </c>
    </row>
    <row r="51" spans="1:5" ht="32.1" customHeight="1" x14ac:dyDescent="0.2">
      <c r="A51" s="17" t="s">
        <v>693</v>
      </c>
      <c r="B51" s="17" t="s">
        <v>774</v>
      </c>
      <c r="C51" s="17" t="s">
        <v>772</v>
      </c>
      <c r="D51" s="17" t="s">
        <v>775</v>
      </c>
    </row>
    <row r="52" spans="1:5" ht="32.1" customHeight="1" x14ac:dyDescent="0.2">
      <c r="A52" s="17" t="s">
        <v>776</v>
      </c>
      <c r="B52" s="17" t="s">
        <v>777</v>
      </c>
      <c r="C52" s="17" t="s">
        <v>772</v>
      </c>
      <c r="D52" s="17" t="s">
        <v>778</v>
      </c>
    </row>
    <row r="53" spans="1:5" ht="32.1" customHeight="1" x14ac:dyDescent="0.2">
      <c r="A53" s="17" t="s">
        <v>691</v>
      </c>
      <c r="B53" s="17" t="s">
        <v>779</v>
      </c>
      <c r="C53" s="17" t="s">
        <v>780</v>
      </c>
      <c r="D53" s="17" t="s">
        <v>781</v>
      </c>
    </row>
    <row r="56" spans="1:5" ht="16.5" x14ac:dyDescent="0.25">
      <c r="A56" s="15" t="s">
        <v>782</v>
      </c>
    </row>
    <row r="58" spans="1:5" ht="45" customHeight="1" x14ac:dyDescent="0.2">
      <c r="A58" s="16" t="s">
        <v>783</v>
      </c>
      <c r="B58" s="16" t="s">
        <v>691</v>
      </c>
      <c r="C58" s="16" t="s">
        <v>692</v>
      </c>
      <c r="D58" s="16" t="s">
        <v>693</v>
      </c>
      <c r="E58" s="16" t="s">
        <v>784</v>
      </c>
    </row>
    <row r="59" spans="1:5" ht="32.1" customHeight="1" x14ac:dyDescent="0.2">
      <c r="A59" s="17" t="s">
        <v>771</v>
      </c>
      <c r="B59" s="17" t="s">
        <v>785</v>
      </c>
      <c r="C59" s="17" t="s">
        <v>703</v>
      </c>
      <c r="D59" s="17" t="s">
        <v>703</v>
      </c>
      <c r="E59" s="17" t="s">
        <v>786</v>
      </c>
    </row>
    <row r="60" spans="1:5" ht="32.1" customHeight="1" x14ac:dyDescent="0.2">
      <c r="A60" s="17" t="s">
        <v>787</v>
      </c>
      <c r="B60" s="17" t="s">
        <v>702</v>
      </c>
      <c r="C60" s="17" t="s">
        <v>703</v>
      </c>
      <c r="D60" s="17" t="s">
        <v>703</v>
      </c>
      <c r="E60" s="17" t="s">
        <v>788</v>
      </c>
    </row>
    <row r="61" spans="1:5" ht="32.1" customHeight="1" x14ac:dyDescent="0.2">
      <c r="A61" s="17" t="s">
        <v>789</v>
      </c>
      <c r="B61" s="17" t="s">
        <v>702</v>
      </c>
      <c r="C61" s="17" t="s">
        <v>702</v>
      </c>
      <c r="D61" s="17" t="s">
        <v>702</v>
      </c>
      <c r="E61" s="17" t="s">
        <v>790</v>
      </c>
    </row>
    <row r="62" spans="1:5" ht="32.1" customHeight="1" x14ac:dyDescent="0.2">
      <c r="A62" s="17" t="s">
        <v>791</v>
      </c>
      <c r="B62" s="17" t="s">
        <v>792</v>
      </c>
      <c r="C62" s="17" t="s">
        <v>702</v>
      </c>
      <c r="D62" s="17" t="s">
        <v>702</v>
      </c>
      <c r="E62" s="17" t="s">
        <v>793</v>
      </c>
    </row>
    <row r="65" spans="1:5" ht="16.5" x14ac:dyDescent="0.25">
      <c r="A65" s="15" t="s">
        <v>794</v>
      </c>
    </row>
    <row r="67" spans="1:5" ht="45" customHeight="1" x14ac:dyDescent="0.2">
      <c r="A67" s="16" t="s">
        <v>795</v>
      </c>
      <c r="B67" s="16" t="s">
        <v>796</v>
      </c>
      <c r="C67" s="16" t="s">
        <v>797</v>
      </c>
      <c r="D67" s="16" t="s">
        <v>798</v>
      </c>
      <c r="E67" s="16" t="s">
        <v>730</v>
      </c>
    </row>
    <row r="68" spans="1:5" ht="32.1" customHeight="1" x14ac:dyDescent="0.2">
      <c r="A68" s="17" t="s">
        <v>713</v>
      </c>
      <c r="B68" s="17" t="s">
        <v>727</v>
      </c>
      <c r="C68" s="17" t="s">
        <v>799</v>
      </c>
      <c r="D68" s="17" t="s">
        <v>712</v>
      </c>
      <c r="E68" s="17" t="s">
        <v>692</v>
      </c>
    </row>
    <row r="69" spans="1:5" ht="32.1" customHeight="1" x14ac:dyDescent="0.2">
      <c r="A69" s="17" t="s">
        <v>714</v>
      </c>
      <c r="B69" s="17" t="s">
        <v>728</v>
      </c>
      <c r="C69" s="17" t="s">
        <v>800</v>
      </c>
      <c r="D69" s="17" t="s">
        <v>713</v>
      </c>
      <c r="E69" s="17" t="s">
        <v>693</v>
      </c>
    </row>
    <row r="70" spans="1:5" ht="32.1" customHeight="1" x14ac:dyDescent="0.2">
      <c r="A70" s="17" t="s">
        <v>716</v>
      </c>
      <c r="B70" s="17" t="s">
        <v>801</v>
      </c>
      <c r="C70" s="17" t="s">
        <v>802</v>
      </c>
      <c r="D70" s="17" t="s">
        <v>715</v>
      </c>
      <c r="E70" s="17" t="s">
        <v>693</v>
      </c>
    </row>
    <row r="71" spans="1:5" ht="32.1" customHeight="1" x14ac:dyDescent="0.2">
      <c r="A71" s="17" t="s">
        <v>715</v>
      </c>
      <c r="B71" s="17" t="s">
        <v>801</v>
      </c>
      <c r="C71" s="17" t="s">
        <v>803</v>
      </c>
      <c r="D71" s="17" t="s">
        <v>712</v>
      </c>
      <c r="E71" s="17" t="s">
        <v>692</v>
      </c>
    </row>
    <row r="72" spans="1:5" ht="32.1" customHeight="1" x14ac:dyDescent="0.2">
      <c r="A72" s="17" t="s">
        <v>804</v>
      </c>
      <c r="B72" s="17" t="s">
        <v>805</v>
      </c>
      <c r="C72" s="17" t="s">
        <v>806</v>
      </c>
      <c r="D72" s="17" t="s">
        <v>807</v>
      </c>
      <c r="E72" s="17" t="s">
        <v>691</v>
      </c>
    </row>
    <row r="75" spans="1:5" ht="16.5" x14ac:dyDescent="0.25">
      <c r="A75" s="15" t="s">
        <v>808</v>
      </c>
    </row>
    <row r="77" spans="1:5" ht="45" customHeight="1" x14ac:dyDescent="0.2">
      <c r="A77" s="16" t="s">
        <v>809</v>
      </c>
      <c r="B77" s="16" t="s">
        <v>810</v>
      </c>
      <c r="C77" s="16" t="s">
        <v>811</v>
      </c>
      <c r="D77" s="16" t="s">
        <v>812</v>
      </c>
    </row>
    <row r="78" spans="1:5" ht="32.1" customHeight="1" x14ac:dyDescent="0.2">
      <c r="A78" s="17" t="s">
        <v>205</v>
      </c>
      <c r="B78" s="17" t="s">
        <v>813</v>
      </c>
      <c r="C78" s="17" t="s">
        <v>702</v>
      </c>
      <c r="D78" s="17" t="s">
        <v>702</v>
      </c>
    </row>
    <row r="79" spans="1:5" ht="32.1" customHeight="1" x14ac:dyDescent="0.2">
      <c r="A79" s="17" t="s">
        <v>205</v>
      </c>
      <c r="B79" s="17" t="s">
        <v>814</v>
      </c>
      <c r="C79" s="17" t="s">
        <v>703</v>
      </c>
      <c r="D79" s="17" t="s">
        <v>702</v>
      </c>
    </row>
    <row r="80" spans="1:5" ht="32.1" customHeight="1" x14ac:dyDescent="0.2">
      <c r="A80" s="17" t="s">
        <v>205</v>
      </c>
      <c r="B80" s="17" t="s">
        <v>815</v>
      </c>
      <c r="C80" s="17" t="s">
        <v>702</v>
      </c>
      <c r="D80" s="17" t="s">
        <v>816</v>
      </c>
    </row>
    <row r="81" spans="1:4" ht="32.1" customHeight="1" x14ac:dyDescent="0.2">
      <c r="A81" s="17" t="s">
        <v>197</v>
      </c>
      <c r="B81" s="17" t="s">
        <v>817</v>
      </c>
      <c r="C81" s="17" t="s">
        <v>818</v>
      </c>
      <c r="D81" s="17" t="s">
        <v>720</v>
      </c>
    </row>
    <row r="82" spans="1:4" ht="32.1" customHeight="1" x14ac:dyDescent="0.2">
      <c r="A82" s="17" t="s">
        <v>197</v>
      </c>
      <c r="B82" s="17" t="s">
        <v>819</v>
      </c>
      <c r="C82" s="17" t="s">
        <v>820</v>
      </c>
      <c r="D82" s="17" t="s">
        <v>720</v>
      </c>
    </row>
    <row r="83" spans="1:4" ht="32.1" customHeight="1" x14ac:dyDescent="0.2">
      <c r="A83" s="17" t="s">
        <v>197</v>
      </c>
      <c r="B83" s="17" t="s">
        <v>821</v>
      </c>
      <c r="C83" s="17" t="s">
        <v>822</v>
      </c>
      <c r="D83" s="17" t="s">
        <v>720</v>
      </c>
    </row>
    <row r="84" spans="1:4" ht="32.1" customHeight="1" x14ac:dyDescent="0.2">
      <c r="A84" s="17" t="s">
        <v>823</v>
      </c>
      <c r="B84" s="17" t="s">
        <v>824</v>
      </c>
      <c r="C84" s="17" t="s">
        <v>703</v>
      </c>
      <c r="D84" s="17" t="s">
        <v>720</v>
      </c>
    </row>
    <row r="87" spans="1:4" ht="16.5" x14ac:dyDescent="0.25">
      <c r="A87" s="15" t="s">
        <v>825</v>
      </c>
    </row>
    <row r="89" spans="1:4" ht="45" customHeight="1" x14ac:dyDescent="0.2">
      <c r="A89" s="16" t="s">
        <v>826</v>
      </c>
      <c r="B89" s="16" t="s">
        <v>737</v>
      </c>
      <c r="C89" s="16" t="s">
        <v>738</v>
      </c>
      <c r="D89" s="16" t="s">
        <v>739</v>
      </c>
    </row>
    <row r="90" spans="1:4" ht="32.1" customHeight="1" x14ac:dyDescent="0.2">
      <c r="A90" s="17" t="s">
        <v>827</v>
      </c>
      <c r="B90" s="17" t="s">
        <v>828</v>
      </c>
      <c r="C90" s="17" t="s">
        <v>829</v>
      </c>
      <c r="D90" s="17" t="s">
        <v>830</v>
      </c>
    </row>
    <row r="91" spans="1:4" ht="32.1" customHeight="1" x14ac:dyDescent="0.2">
      <c r="A91" s="17" t="s">
        <v>831</v>
      </c>
      <c r="B91" s="17" t="s">
        <v>832</v>
      </c>
      <c r="C91" s="17" t="s">
        <v>833</v>
      </c>
      <c r="D91" s="17" t="s">
        <v>720</v>
      </c>
    </row>
    <row r="92" spans="1:4" ht="32.1" customHeight="1" x14ac:dyDescent="0.2">
      <c r="A92" s="17" t="s">
        <v>834</v>
      </c>
      <c r="B92" s="17" t="s">
        <v>835</v>
      </c>
      <c r="C92" s="17" t="s">
        <v>836</v>
      </c>
      <c r="D92" s="17" t="s">
        <v>720</v>
      </c>
    </row>
    <row r="93" spans="1:4" ht="32.1" customHeight="1" x14ac:dyDescent="0.2">
      <c r="A93" s="17" t="s">
        <v>837</v>
      </c>
      <c r="B93" s="17" t="s">
        <v>720</v>
      </c>
      <c r="C93" s="17" t="s">
        <v>838</v>
      </c>
      <c r="D93" s="17" t="s">
        <v>839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Chitiet_Banhanh_goicuoc</vt:lpstr>
      <vt:lpstr>Kỹ thuật thiết kế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Quân Mẫn</cp:lastModifiedBy>
  <dcterms:created xsi:type="dcterms:W3CDTF">2026-09-30T15:47:58Z</dcterms:created>
  <dcterms:modified xsi:type="dcterms:W3CDTF">2026-09-30T15:50:45Z</dcterms:modified>
</cp:coreProperties>
</file>